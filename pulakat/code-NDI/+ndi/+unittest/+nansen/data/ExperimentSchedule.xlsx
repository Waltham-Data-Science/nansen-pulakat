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pulakat\Desktop\Animal info 36 week study\"/>
    </mc:Choice>
  </mc:AlternateContent>
  <bookViews>
    <workbookView xWindow="0" yWindow="0" windowWidth="12560" windowHeight="10910"/>
  </bookViews>
  <sheets>
    <sheet name="Sheet1" sheetId="1" r:id="rId1"/>
    <sheet name="Harvesting Info" sheetId="2" r:id="rId2"/>
    <sheet name="Health Information per Rat" sheetId="3" r:id="rId3"/>
    <sheet name="Incidence Report" sheetId="4" r:id="rId4"/>
    <sheet name="Injection Schedul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5" l="1"/>
  <c r="E9" i="5" s="1"/>
  <c r="F9" i="5" s="1"/>
  <c r="G9" i="5" s="1"/>
  <c r="H9" i="5" s="1"/>
  <c r="C9" i="5"/>
  <c r="D7" i="5"/>
  <c r="E7" i="5"/>
  <c r="F7" i="5"/>
  <c r="G7" i="5"/>
  <c r="H7" i="5" s="1"/>
  <c r="C7" i="5"/>
  <c r="M22" i="1" l="1"/>
  <c r="M23" i="1" s="1"/>
  <c r="M24" i="1" s="1"/>
  <c r="M25" i="1" s="1"/>
  <c r="M26" i="1" s="1"/>
  <c r="M27" i="1" s="1"/>
  <c r="M28" i="1" s="1"/>
  <c r="M29" i="1" s="1"/>
  <c r="C11" i="4" l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A4" i="4"/>
  <c r="B4" i="4"/>
  <c r="A5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E11" i="2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J12" i="1" l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G20" i="1" l="1"/>
  <c r="L20" i="1"/>
  <c r="H20" i="1"/>
  <c r="H21" i="1" s="1"/>
  <c r="H22" i="1" s="1"/>
  <c r="H23" i="1" s="1"/>
  <c r="H24" i="1" s="1"/>
  <c r="H25" i="1" s="1"/>
  <c r="H26" i="1" s="1"/>
  <c r="H27" i="1" s="1"/>
  <c r="H28" i="1" s="1"/>
  <c r="H29" i="1" s="1"/>
  <c r="G21" i="1" l="1"/>
  <c r="L21" i="1"/>
  <c r="G22" i="1" l="1"/>
  <c r="L22" i="1"/>
  <c r="G23" i="1" l="1"/>
  <c r="L23" i="1"/>
  <c r="G24" i="1" l="1"/>
  <c r="L24" i="1"/>
  <c r="G25" i="1" l="1"/>
  <c r="L25" i="1"/>
  <c r="G26" i="1" l="1"/>
  <c r="L26" i="1"/>
  <c r="G27" i="1" l="1"/>
  <c r="L27" i="1"/>
  <c r="G28" i="1" l="1"/>
  <c r="L28" i="1"/>
  <c r="G29" i="1" l="1"/>
  <c r="L29" i="1"/>
  <c r="L30" i="1" l="1"/>
  <c r="L31" i="1" s="1"/>
  <c r="L32" i="1" s="1"/>
  <c r="L33" i="1" s="1"/>
  <c r="L34" i="1" s="1"/>
  <c r="L35" i="1" s="1"/>
  <c r="L36" i="1" s="1"/>
  <c r="L37" i="1" s="1"/>
  <c r="L38" i="1" s="1"/>
  <c r="G30" i="1"/>
  <c r="G31" i="1" s="1"/>
  <c r="G32" i="1" s="1"/>
  <c r="G33" i="1" s="1"/>
  <c r="G34" i="1" s="1"/>
  <c r="G35" i="1" s="1"/>
  <c r="G36" i="1" s="1"/>
</calcChain>
</file>

<file path=xl/sharedStrings.xml><?xml version="1.0" encoding="utf-8"?>
<sst xmlns="http://schemas.openxmlformats.org/spreadsheetml/2006/main" count="453" uniqueCount="152">
  <si>
    <t>Date</t>
  </si>
  <si>
    <t>Pumps</t>
  </si>
  <si>
    <t>Echo</t>
  </si>
  <si>
    <t>18 rats</t>
  </si>
  <si>
    <t>32 rats</t>
  </si>
  <si>
    <t>Harvest</t>
  </si>
  <si>
    <t>Echo/ Harvest</t>
  </si>
  <si>
    <t>Week (age)</t>
  </si>
  <si>
    <t>Study Group 1</t>
  </si>
  <si>
    <t>Study Group 2</t>
  </si>
  <si>
    <t>LabDiet 5008</t>
  </si>
  <si>
    <t>Wistar</t>
  </si>
  <si>
    <t>D#12468</t>
  </si>
  <si>
    <t>Obese</t>
  </si>
  <si>
    <t>ID #</t>
  </si>
  <si>
    <t>Cage #</t>
  </si>
  <si>
    <t xml:space="preserve">Feed Type </t>
  </si>
  <si>
    <t>Strain</t>
  </si>
  <si>
    <t>Control</t>
  </si>
  <si>
    <t>Saline</t>
  </si>
  <si>
    <t>NP6A4</t>
  </si>
  <si>
    <t>NP6A5</t>
  </si>
  <si>
    <t>Another Trial</t>
  </si>
  <si>
    <t>Group 1</t>
  </si>
  <si>
    <t xml:space="preserve">Experimental Group </t>
  </si>
  <si>
    <t>Group 2</t>
  </si>
  <si>
    <t>A</t>
  </si>
  <si>
    <t>NP</t>
  </si>
  <si>
    <t>ZDF</t>
  </si>
  <si>
    <t>B</t>
  </si>
  <si>
    <t>Pair in Cage</t>
  </si>
  <si>
    <t xml:space="preserve">Study Group 1 </t>
  </si>
  <si>
    <t>Health Report</t>
  </si>
  <si>
    <t>Euthanized  (Date)</t>
  </si>
  <si>
    <t>Body Weight (g)</t>
  </si>
  <si>
    <t>Blood (mL)</t>
  </si>
  <si>
    <t>Heart (g)</t>
  </si>
  <si>
    <t>Liver (g)</t>
  </si>
  <si>
    <t>Lung (g)</t>
  </si>
  <si>
    <t>Tibia Length in cm</t>
  </si>
  <si>
    <t>Necrosis around pump incision site</t>
  </si>
  <si>
    <t>90A</t>
  </si>
  <si>
    <t>Prolapsed uterus</t>
  </si>
  <si>
    <t>87B</t>
  </si>
  <si>
    <t>Pump tore through skin</t>
  </si>
  <si>
    <t xml:space="preserve"> </t>
  </si>
  <si>
    <t>Number ID</t>
  </si>
  <si>
    <t xml:space="preserve">Number Id </t>
  </si>
  <si>
    <t>3 numbers ex. 160s to 510s</t>
  </si>
  <si>
    <t>2 numbers ex 80s</t>
  </si>
  <si>
    <t>Pump Removal</t>
  </si>
  <si>
    <t>Maze</t>
  </si>
  <si>
    <t>Echo + Hindlimb Imaging</t>
  </si>
  <si>
    <t>Males</t>
  </si>
  <si>
    <t>order</t>
  </si>
  <si>
    <t xml:space="preserve">Date </t>
  </si>
  <si>
    <t>Male Study</t>
  </si>
  <si>
    <t>Monday</t>
  </si>
  <si>
    <t>Tuesday</t>
  </si>
  <si>
    <t>Wenesday</t>
  </si>
  <si>
    <t>Thursday</t>
  </si>
  <si>
    <t>Friday</t>
  </si>
  <si>
    <t>Saturday</t>
  </si>
  <si>
    <t>Sunday</t>
  </si>
  <si>
    <t>Week 1</t>
  </si>
  <si>
    <t>Week 2</t>
  </si>
  <si>
    <t>Week 3</t>
  </si>
  <si>
    <t>Week 4</t>
  </si>
  <si>
    <t>Week 5</t>
  </si>
  <si>
    <t>May</t>
  </si>
  <si>
    <t>Injection</t>
  </si>
  <si>
    <t>Group 2 + G1 diluted</t>
  </si>
  <si>
    <t xml:space="preserve"> 2 G1 diluted NP</t>
  </si>
  <si>
    <t>Group 1+2</t>
  </si>
  <si>
    <t>Echo/MG Hindlimb imaging/ NP-PD group Harvesting</t>
  </si>
  <si>
    <t>Echo/MG Hindlimb imaging NP Injections</t>
  </si>
  <si>
    <t>Novel Object (Tarr Building), Day 1 Habituation; Day 2-5 Novel Object</t>
  </si>
  <si>
    <t>Maze Day 1-2 Water maze; Day 3-4 Rest; Day 5 Water Maze</t>
  </si>
  <si>
    <t>92A</t>
  </si>
  <si>
    <t>92B</t>
  </si>
  <si>
    <t>93A</t>
  </si>
  <si>
    <t>93B</t>
  </si>
  <si>
    <t>94A</t>
  </si>
  <si>
    <t>94B</t>
  </si>
  <si>
    <t>90B</t>
  </si>
  <si>
    <t>87A</t>
  </si>
  <si>
    <t>89A</t>
  </si>
  <si>
    <t>89B</t>
  </si>
  <si>
    <t>85A</t>
  </si>
  <si>
    <t>85B</t>
  </si>
  <si>
    <t>86A</t>
  </si>
  <si>
    <t>86B</t>
  </si>
  <si>
    <t>88A</t>
  </si>
  <si>
    <t xml:space="preserve">Study Group 3 </t>
  </si>
  <si>
    <t>25 Rats</t>
  </si>
  <si>
    <t>143A</t>
  </si>
  <si>
    <t>143B</t>
  </si>
  <si>
    <t>145A</t>
  </si>
  <si>
    <t>145B</t>
  </si>
  <si>
    <t>148A</t>
  </si>
  <si>
    <t>649/148B</t>
  </si>
  <si>
    <t>144B</t>
  </si>
  <si>
    <t>142A</t>
  </si>
  <si>
    <t>142 B</t>
  </si>
  <si>
    <t>146 A</t>
  </si>
  <si>
    <t>146B</t>
  </si>
  <si>
    <t>141 A</t>
  </si>
  <si>
    <t>141 B</t>
  </si>
  <si>
    <t>138 A</t>
  </si>
  <si>
    <t>138 B</t>
  </si>
  <si>
    <t>139A</t>
  </si>
  <si>
    <t>139B</t>
  </si>
  <si>
    <t>140A</t>
  </si>
  <si>
    <t>140B</t>
  </si>
  <si>
    <t>514A</t>
  </si>
  <si>
    <t>514B</t>
  </si>
  <si>
    <t>513A</t>
  </si>
  <si>
    <t>513B</t>
  </si>
  <si>
    <t>512A</t>
  </si>
  <si>
    <t>512B</t>
  </si>
  <si>
    <t>515A</t>
  </si>
  <si>
    <t>515B</t>
  </si>
  <si>
    <t>519A</t>
  </si>
  <si>
    <t>519B</t>
  </si>
  <si>
    <t>516A</t>
  </si>
  <si>
    <t>516B</t>
  </si>
  <si>
    <t>518A</t>
  </si>
  <si>
    <t>518B</t>
  </si>
  <si>
    <t>517A</t>
  </si>
  <si>
    <t>517B</t>
  </si>
  <si>
    <t>164A</t>
  </si>
  <si>
    <t>169a</t>
  </si>
  <si>
    <t>169b</t>
  </si>
  <si>
    <t>166b</t>
  </si>
  <si>
    <t>168A</t>
  </si>
  <si>
    <t>168B</t>
  </si>
  <si>
    <t>165A</t>
  </si>
  <si>
    <t>165B</t>
  </si>
  <si>
    <t>163A</t>
  </si>
  <si>
    <t>163B</t>
  </si>
  <si>
    <t>164B</t>
  </si>
  <si>
    <t>166A</t>
  </si>
  <si>
    <t>162A</t>
  </si>
  <si>
    <t>162B</t>
  </si>
  <si>
    <t>167A</t>
  </si>
  <si>
    <t>167B</t>
  </si>
  <si>
    <t>Echos</t>
  </si>
  <si>
    <t>Echoes</t>
  </si>
  <si>
    <t>Study Group 3</t>
  </si>
  <si>
    <t>Study Group 1 schedule</t>
  </si>
  <si>
    <t>Study Group 2 Schedule</t>
  </si>
  <si>
    <t>Study Group  3Schedule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</si>
</sst>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DC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4" fillId="0" borderId="2" xfId="0" quotePrefix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4" fillId="3" borderId="1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4" borderId="1" xfId="0" quotePrefix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4" fillId="5" borderId="1" xfId="0" quotePrefix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4" fillId="2" borderId="5" xfId="0" quotePrefix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0" borderId="4" xfId="0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5" borderId="7" xfId="0" applyFill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/>
    <xf numFmtId="0" fontId="0" fillId="0" borderId="0" xfId="0" applyAlignment="1"/>
    <xf numFmtId="14" fontId="2" fillId="6" borderId="1" xfId="0" applyNumberFormat="1" applyFont="1" applyFill="1" applyBorder="1"/>
    <xf numFmtId="0" fontId="2" fillId="6" borderId="1" xfId="0" applyFont="1" applyFill="1" applyBorder="1"/>
    <xf numFmtId="14" fontId="0" fillId="6" borderId="1" xfId="0" applyNumberFormat="1" applyFill="1" applyBorder="1"/>
    <xf numFmtId="0" fontId="0" fillId="6" borderId="1" xfId="0" applyFill="1" applyBorder="1"/>
    <xf numFmtId="0" fontId="0" fillId="6" borderId="0" xfId="0" applyFill="1" applyBorder="1"/>
    <xf numFmtId="0" fontId="0" fillId="6" borderId="0" xfId="0" applyFill="1"/>
    <xf numFmtId="0" fontId="0" fillId="6" borderId="0" xfId="0" applyFill="1" applyAlignment="1">
      <alignment wrapText="1"/>
    </xf>
    <xf numFmtId="0" fontId="0" fillId="0" borderId="0" xfId="0" applyAlignment="1">
      <alignment horizontal="center" vertical="center"/>
    </xf>
    <xf numFmtId="14" fontId="0" fillId="7" borderId="1" xfId="0" applyNumberFormat="1" applyFill="1" applyBorder="1"/>
    <xf numFmtId="0" fontId="0" fillId="7" borderId="0" xfId="0" applyFill="1" applyBorder="1"/>
    <xf numFmtId="0" fontId="0" fillId="7" borderId="0" xfId="0" applyFill="1" applyAlignment="1">
      <alignment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D1" zoomScale="90" zoomScaleNormal="90" workbookViewId="0">
      <selection activeCell="D1" sqref="A1:XFD44"/>
    </sheetView>
  </sheetViews>
  <sheetFormatPr defaultRowHeight="14.5" x14ac:dyDescent="0.35"/>
  <cols>
    <col min="1" max="1" width="17.54296875" bestFit="1" customWidth="1"/>
    <col min="3" max="3" width="17.54296875" bestFit="1" customWidth="1"/>
    <col min="5" max="5" width="18.26953125" bestFit="1" customWidth="1"/>
    <col min="7" max="7" width="15.08984375" customWidth="1"/>
    <col min="8" max="8" width="11.1796875" bestFit="1" customWidth="1"/>
    <col min="9" max="9" width="23" bestFit="1" customWidth="1"/>
    <col min="10" max="10" width="17.54296875" bestFit="1" customWidth="1"/>
    <col min="11" max="11" width="25" bestFit="1" customWidth="1"/>
    <col min="12" max="12" width="10.26953125" bestFit="1" customWidth="1"/>
    <col min="13" max="13" width="20.81640625" bestFit="1" customWidth="1"/>
    <col min="14" max="14" width="26.453125" bestFit="1" customWidth="1"/>
  </cols>
  <sheetData>
    <row r="1" spans="1:14" ht="18.5" x14ac:dyDescent="0.45">
      <c r="A1" s="2" t="s">
        <v>8</v>
      </c>
      <c r="B1" s="2" t="s">
        <v>3</v>
      </c>
      <c r="C1" s="2" t="s">
        <v>9</v>
      </c>
      <c r="D1" s="2" t="s">
        <v>4</v>
      </c>
      <c r="E1" s="2" t="s">
        <v>93</v>
      </c>
      <c r="F1" s="2" t="s">
        <v>94</v>
      </c>
      <c r="G1" s="58" t="s">
        <v>149</v>
      </c>
      <c r="H1" s="59"/>
      <c r="I1" s="2"/>
      <c r="J1" s="58" t="s">
        <v>150</v>
      </c>
      <c r="K1" s="58"/>
      <c r="M1" s="60" t="s">
        <v>151</v>
      </c>
      <c r="N1" s="60"/>
    </row>
    <row r="2" spans="1:14" s="6" customFormat="1" x14ac:dyDescent="0.35">
      <c r="B2" s="13" t="s">
        <v>78</v>
      </c>
      <c r="D2" t="s">
        <v>114</v>
      </c>
      <c r="F2" s="54" t="s">
        <v>95</v>
      </c>
      <c r="H2" s="6" t="s">
        <v>46</v>
      </c>
      <c r="I2" s="6" t="s">
        <v>49</v>
      </c>
      <c r="J2" s="6" t="s">
        <v>47</v>
      </c>
      <c r="K2" s="6" t="s">
        <v>48</v>
      </c>
      <c r="M2" s="6" t="s">
        <v>56</v>
      </c>
    </row>
    <row r="3" spans="1:14" s="6" customFormat="1" x14ac:dyDescent="0.35">
      <c r="B3" s="13" t="s">
        <v>79</v>
      </c>
      <c r="D3" t="s">
        <v>115</v>
      </c>
      <c r="F3" s="54" t="s">
        <v>96</v>
      </c>
      <c r="G3" s="7" t="s">
        <v>0</v>
      </c>
      <c r="H3" s="7" t="s">
        <v>7</v>
      </c>
      <c r="I3" s="7" t="s">
        <v>8</v>
      </c>
      <c r="J3" s="7" t="s">
        <v>7</v>
      </c>
      <c r="K3" s="7" t="s">
        <v>9</v>
      </c>
      <c r="L3" s="6" t="s">
        <v>55</v>
      </c>
      <c r="M3" s="6" t="s">
        <v>148</v>
      </c>
    </row>
    <row r="4" spans="1:14" s="6" customFormat="1" x14ac:dyDescent="0.35">
      <c r="B4" s="13" t="s">
        <v>80</v>
      </c>
      <c r="D4" t="s">
        <v>116</v>
      </c>
      <c r="F4" s="54">
        <v>147</v>
      </c>
      <c r="G4" s="8">
        <v>44214</v>
      </c>
      <c r="H4" s="7">
        <v>11</v>
      </c>
      <c r="I4" s="7"/>
    </row>
    <row r="5" spans="1:14" s="6" customFormat="1" x14ac:dyDescent="0.35">
      <c r="B5" s="13" t="s">
        <v>81</v>
      </c>
      <c r="D5" t="s">
        <v>117</v>
      </c>
      <c r="F5" s="54" t="s">
        <v>97</v>
      </c>
      <c r="G5" s="8">
        <f>G4+7</f>
        <v>44221</v>
      </c>
      <c r="H5" s="7">
        <f>H4+1</f>
        <v>12</v>
      </c>
      <c r="I5" s="7" t="s">
        <v>1</v>
      </c>
    </row>
    <row r="6" spans="1:14" s="6" customFormat="1" x14ac:dyDescent="0.35">
      <c r="B6" s="13" t="s">
        <v>82</v>
      </c>
      <c r="D6" t="s">
        <v>118</v>
      </c>
      <c r="F6" s="54" t="s">
        <v>98</v>
      </c>
      <c r="G6" s="8">
        <f t="shared" ref="G6:G36" si="0">G5+7</f>
        <v>44228</v>
      </c>
      <c r="H6" s="7">
        <f t="shared" ref="H6:H29" si="1">H5+1</f>
        <v>13</v>
      </c>
      <c r="I6" s="7"/>
    </row>
    <row r="7" spans="1:14" s="6" customFormat="1" x14ac:dyDescent="0.35">
      <c r="B7" s="13" t="s">
        <v>83</v>
      </c>
      <c r="D7" t="s">
        <v>119</v>
      </c>
      <c r="F7" s="54" t="s">
        <v>99</v>
      </c>
      <c r="G7" s="8">
        <f t="shared" si="0"/>
        <v>44235</v>
      </c>
      <c r="H7" s="7">
        <f t="shared" si="1"/>
        <v>14</v>
      </c>
      <c r="I7" s="7"/>
    </row>
    <row r="8" spans="1:14" s="6" customFormat="1" x14ac:dyDescent="0.35">
      <c r="B8" s="13" t="s">
        <v>41</v>
      </c>
      <c r="D8" t="s">
        <v>120</v>
      </c>
      <c r="F8" s="54" t="s">
        <v>100</v>
      </c>
      <c r="G8" s="8">
        <f t="shared" si="0"/>
        <v>44242</v>
      </c>
      <c r="H8" s="7">
        <f t="shared" si="1"/>
        <v>15</v>
      </c>
      <c r="I8" s="7"/>
    </row>
    <row r="9" spans="1:14" s="6" customFormat="1" x14ac:dyDescent="0.35">
      <c r="B9" s="13" t="s">
        <v>84</v>
      </c>
      <c r="D9" t="s">
        <v>121</v>
      </c>
      <c r="F9" s="54">
        <v>642</v>
      </c>
      <c r="G9" s="47">
        <f t="shared" si="0"/>
        <v>44249</v>
      </c>
      <c r="H9" s="48">
        <f t="shared" si="1"/>
        <v>16</v>
      </c>
      <c r="I9" s="48" t="s">
        <v>2</v>
      </c>
      <c r="L9" s="9"/>
      <c r="M9" s="9"/>
    </row>
    <row r="10" spans="1:14" x14ac:dyDescent="0.35">
      <c r="B10" s="13" t="s">
        <v>85</v>
      </c>
      <c r="D10" t="s">
        <v>122</v>
      </c>
      <c r="F10" s="54" t="s">
        <v>101</v>
      </c>
      <c r="G10" s="8">
        <f>G9+7</f>
        <v>44256</v>
      </c>
      <c r="H10" s="7">
        <f t="shared" si="1"/>
        <v>17</v>
      </c>
      <c r="I10" s="7" t="s">
        <v>1</v>
      </c>
      <c r="J10" s="9"/>
      <c r="K10" s="9"/>
      <c r="L10" s="5"/>
      <c r="M10" s="9"/>
    </row>
    <row r="11" spans="1:14" x14ac:dyDescent="0.35">
      <c r="B11" s="13" t="s">
        <v>43</v>
      </c>
      <c r="D11" t="s">
        <v>123</v>
      </c>
      <c r="F11" s="54">
        <v>643</v>
      </c>
      <c r="G11" s="47">
        <f t="shared" si="0"/>
        <v>44263</v>
      </c>
      <c r="H11" s="48">
        <f t="shared" si="1"/>
        <v>18</v>
      </c>
      <c r="I11" s="48"/>
      <c r="J11" s="48">
        <v>11</v>
      </c>
      <c r="K11" s="48" t="s">
        <v>2</v>
      </c>
      <c r="L11" s="5"/>
      <c r="M11" s="5"/>
    </row>
    <row r="12" spans="1:14" x14ac:dyDescent="0.35">
      <c r="B12" s="13" t="s">
        <v>86</v>
      </c>
      <c r="D12" t="s">
        <v>124</v>
      </c>
      <c r="F12" s="54" t="s">
        <v>102</v>
      </c>
      <c r="G12" s="10">
        <f t="shared" si="0"/>
        <v>44270</v>
      </c>
      <c r="H12" s="11">
        <f t="shared" si="1"/>
        <v>19</v>
      </c>
      <c r="I12" s="11"/>
      <c r="J12" s="11">
        <f t="shared" ref="J12:J36" si="2">J11+1</f>
        <v>12</v>
      </c>
      <c r="K12" s="11" t="s">
        <v>1</v>
      </c>
      <c r="L12" s="5"/>
      <c r="M12" s="5"/>
    </row>
    <row r="13" spans="1:14" x14ac:dyDescent="0.35">
      <c r="B13" s="13" t="s">
        <v>87</v>
      </c>
      <c r="D13" t="s">
        <v>125</v>
      </c>
      <c r="F13" s="54" t="s">
        <v>103</v>
      </c>
      <c r="G13" s="4">
        <f t="shared" si="0"/>
        <v>44277</v>
      </c>
      <c r="H13" s="3">
        <f t="shared" si="1"/>
        <v>20</v>
      </c>
      <c r="I13" s="3"/>
      <c r="J13" s="3">
        <f t="shared" si="2"/>
        <v>13</v>
      </c>
      <c r="K13" s="3"/>
      <c r="L13" s="5"/>
      <c r="M13" s="5"/>
    </row>
    <row r="14" spans="1:14" x14ac:dyDescent="0.35">
      <c r="B14" s="13" t="s">
        <v>88</v>
      </c>
      <c r="D14" t="s">
        <v>126</v>
      </c>
      <c r="F14" s="54" t="s">
        <v>104</v>
      </c>
      <c r="G14" s="4">
        <f t="shared" si="0"/>
        <v>44284</v>
      </c>
      <c r="H14" s="3">
        <f t="shared" si="1"/>
        <v>21</v>
      </c>
      <c r="I14" s="3" t="s">
        <v>1</v>
      </c>
      <c r="J14" s="3">
        <f t="shared" si="2"/>
        <v>14</v>
      </c>
      <c r="K14" s="3"/>
      <c r="L14" s="5"/>
      <c r="M14" s="5"/>
    </row>
    <row r="15" spans="1:14" x14ac:dyDescent="0.35">
      <c r="B15" s="13" t="s">
        <v>89</v>
      </c>
      <c r="D15" t="s">
        <v>127</v>
      </c>
      <c r="F15" s="54" t="s">
        <v>105</v>
      </c>
      <c r="G15" s="49">
        <f t="shared" si="0"/>
        <v>44291</v>
      </c>
      <c r="H15" s="50">
        <f t="shared" si="1"/>
        <v>22</v>
      </c>
      <c r="I15" s="50"/>
      <c r="J15" s="50">
        <f t="shared" si="2"/>
        <v>15</v>
      </c>
      <c r="K15" s="50" t="s">
        <v>2</v>
      </c>
      <c r="L15" s="5"/>
      <c r="M15" s="5"/>
    </row>
    <row r="16" spans="1:14" x14ac:dyDescent="0.35">
      <c r="B16" s="17" t="s">
        <v>90</v>
      </c>
      <c r="D16" t="s">
        <v>128</v>
      </c>
      <c r="F16" s="54">
        <v>644</v>
      </c>
      <c r="G16" s="4">
        <f t="shared" si="0"/>
        <v>44298</v>
      </c>
      <c r="H16" s="3">
        <f t="shared" si="1"/>
        <v>23</v>
      </c>
      <c r="I16" s="3"/>
      <c r="J16" s="3">
        <f t="shared" si="2"/>
        <v>16</v>
      </c>
      <c r="K16" s="3" t="s">
        <v>1</v>
      </c>
      <c r="L16" s="5"/>
      <c r="M16" s="5"/>
    </row>
    <row r="17" spans="2:14" x14ac:dyDescent="0.35">
      <c r="B17" s="17" t="s">
        <v>91</v>
      </c>
      <c r="D17" t="s">
        <v>129</v>
      </c>
      <c r="F17" s="54" t="s">
        <v>106</v>
      </c>
      <c r="G17" s="49">
        <f t="shared" si="0"/>
        <v>44305</v>
      </c>
      <c r="H17" s="50">
        <f t="shared" si="1"/>
        <v>24</v>
      </c>
      <c r="I17" s="50" t="s">
        <v>2</v>
      </c>
      <c r="J17" s="50">
        <f t="shared" si="2"/>
        <v>17</v>
      </c>
      <c r="K17" s="50"/>
      <c r="L17" s="5"/>
      <c r="M17" s="5"/>
    </row>
    <row r="18" spans="2:14" x14ac:dyDescent="0.35">
      <c r="B18" s="17" t="s">
        <v>92</v>
      </c>
      <c r="D18" t="s">
        <v>130</v>
      </c>
      <c r="F18" s="54" t="s">
        <v>107</v>
      </c>
      <c r="G18" s="4">
        <f t="shared" si="0"/>
        <v>44312</v>
      </c>
      <c r="H18" s="3">
        <f t="shared" si="1"/>
        <v>25</v>
      </c>
      <c r="I18" s="3" t="s">
        <v>50</v>
      </c>
      <c r="J18" s="3">
        <f t="shared" si="2"/>
        <v>18</v>
      </c>
      <c r="K18" s="3"/>
      <c r="L18" s="5"/>
      <c r="M18" s="5"/>
    </row>
    <row r="19" spans="2:14" x14ac:dyDescent="0.35">
      <c r="B19" s="19">
        <v>67</v>
      </c>
      <c r="D19" t="s">
        <v>131</v>
      </c>
      <c r="F19" s="54" t="s">
        <v>108</v>
      </c>
      <c r="G19" s="4">
        <f t="shared" si="0"/>
        <v>44319</v>
      </c>
      <c r="H19" s="3">
        <f t="shared" si="1"/>
        <v>26</v>
      </c>
      <c r="I19" s="3"/>
      <c r="J19" s="3">
        <f t="shared" si="2"/>
        <v>19</v>
      </c>
      <c r="K19" s="3"/>
      <c r="L19" s="5"/>
      <c r="M19" s="5" t="s">
        <v>53</v>
      </c>
    </row>
    <row r="20" spans="2:14" x14ac:dyDescent="0.35">
      <c r="D20" t="s">
        <v>132</v>
      </c>
      <c r="F20" s="54" t="s">
        <v>109</v>
      </c>
      <c r="G20" s="8">
        <f t="shared" si="0"/>
        <v>44326</v>
      </c>
      <c r="H20" s="3">
        <f t="shared" si="1"/>
        <v>27</v>
      </c>
      <c r="I20" s="3"/>
      <c r="J20" s="3">
        <f t="shared" si="2"/>
        <v>20</v>
      </c>
      <c r="K20" s="3" t="s">
        <v>50</v>
      </c>
      <c r="L20" s="4">
        <f>G19+7</f>
        <v>44326</v>
      </c>
      <c r="M20" s="5" t="s">
        <v>54</v>
      </c>
    </row>
    <row r="21" spans="2:14" x14ac:dyDescent="0.35">
      <c r="D21" t="s">
        <v>133</v>
      </c>
      <c r="F21" s="54" t="s">
        <v>110</v>
      </c>
      <c r="G21" s="4">
        <f t="shared" si="0"/>
        <v>44333</v>
      </c>
      <c r="H21" s="3">
        <f t="shared" si="1"/>
        <v>28</v>
      </c>
      <c r="I21" s="3"/>
      <c r="J21" s="3">
        <f t="shared" si="2"/>
        <v>21</v>
      </c>
      <c r="K21" s="3"/>
      <c r="L21" s="4">
        <f>G20+7</f>
        <v>44333</v>
      </c>
      <c r="M21" s="5">
        <v>9</v>
      </c>
    </row>
    <row r="22" spans="2:14" x14ac:dyDescent="0.35">
      <c r="D22" t="s">
        <v>134</v>
      </c>
      <c r="F22" s="54" t="s">
        <v>111</v>
      </c>
      <c r="G22" s="4">
        <f t="shared" si="0"/>
        <v>44340</v>
      </c>
      <c r="H22" s="3">
        <f t="shared" si="1"/>
        <v>29</v>
      </c>
      <c r="I22" s="3"/>
      <c r="J22" s="3">
        <f t="shared" si="2"/>
        <v>22</v>
      </c>
      <c r="K22" s="3"/>
      <c r="L22" s="49">
        <f t="shared" ref="L22:L30" si="3">G21+7</f>
        <v>44340</v>
      </c>
      <c r="M22" s="51">
        <f>M21+1</f>
        <v>10</v>
      </c>
      <c r="N22" s="52" t="s">
        <v>147</v>
      </c>
    </row>
    <row r="23" spans="2:14" x14ac:dyDescent="0.35">
      <c r="D23" t="s">
        <v>135</v>
      </c>
      <c r="F23" s="54" t="s">
        <v>112</v>
      </c>
      <c r="G23" s="4">
        <f t="shared" si="0"/>
        <v>44347</v>
      </c>
      <c r="H23" s="3">
        <f t="shared" si="1"/>
        <v>30</v>
      </c>
      <c r="I23" s="3"/>
      <c r="J23" s="3">
        <f t="shared" si="2"/>
        <v>23</v>
      </c>
      <c r="K23" s="3"/>
      <c r="L23" s="4">
        <f t="shared" si="3"/>
        <v>44347</v>
      </c>
      <c r="M23" s="5">
        <f t="shared" ref="M23:M29" si="4">M22+1</f>
        <v>11</v>
      </c>
    </row>
    <row r="24" spans="2:14" x14ac:dyDescent="0.35">
      <c r="D24" t="s">
        <v>136</v>
      </c>
      <c r="F24" s="54" t="s">
        <v>113</v>
      </c>
      <c r="G24" s="49">
        <f t="shared" si="0"/>
        <v>44354</v>
      </c>
      <c r="H24" s="50">
        <f t="shared" si="1"/>
        <v>31</v>
      </c>
      <c r="I24" s="50" t="s">
        <v>51</v>
      </c>
      <c r="J24" s="50">
        <f t="shared" si="2"/>
        <v>24</v>
      </c>
      <c r="K24" s="50" t="s">
        <v>2</v>
      </c>
      <c r="L24" s="49">
        <f t="shared" si="3"/>
        <v>44354</v>
      </c>
      <c r="M24" s="51">
        <f t="shared" si="4"/>
        <v>12</v>
      </c>
      <c r="N24" s="52" t="s">
        <v>146</v>
      </c>
    </row>
    <row r="25" spans="2:14" ht="29" x14ac:dyDescent="0.35">
      <c r="D25" t="s">
        <v>137</v>
      </c>
      <c r="F25" s="54">
        <v>645</v>
      </c>
      <c r="G25" s="4">
        <f t="shared" si="0"/>
        <v>44361</v>
      </c>
      <c r="H25" s="3">
        <f t="shared" si="1"/>
        <v>32</v>
      </c>
      <c r="I25" s="3" t="s">
        <v>51</v>
      </c>
      <c r="J25" s="3">
        <f t="shared" si="2"/>
        <v>25</v>
      </c>
      <c r="L25" s="55">
        <f>G24+7</f>
        <v>44361</v>
      </c>
      <c r="M25" s="56">
        <f t="shared" si="4"/>
        <v>13</v>
      </c>
      <c r="N25" s="57" t="s">
        <v>75</v>
      </c>
    </row>
    <row r="26" spans="2:14" x14ac:dyDescent="0.35">
      <c r="D26" t="s">
        <v>138</v>
      </c>
      <c r="G26" s="4">
        <f t="shared" si="0"/>
        <v>44368</v>
      </c>
      <c r="H26" s="3">
        <f t="shared" si="1"/>
        <v>33</v>
      </c>
      <c r="I26" s="3" t="s">
        <v>51</v>
      </c>
      <c r="J26" s="3">
        <f t="shared" si="2"/>
        <v>26</v>
      </c>
      <c r="K26" s="5"/>
      <c r="L26" s="4">
        <f t="shared" si="3"/>
        <v>44368</v>
      </c>
      <c r="M26" s="5">
        <f t="shared" si="4"/>
        <v>14</v>
      </c>
    </row>
    <row r="27" spans="2:14" x14ac:dyDescent="0.35">
      <c r="D27" t="s">
        <v>139</v>
      </c>
      <c r="G27" s="4">
        <f t="shared" si="0"/>
        <v>44375</v>
      </c>
      <c r="H27" s="3">
        <f t="shared" si="1"/>
        <v>34</v>
      </c>
      <c r="I27" s="3" t="s">
        <v>51</v>
      </c>
      <c r="J27" s="3">
        <f t="shared" si="2"/>
        <v>27</v>
      </c>
      <c r="K27" s="5"/>
      <c r="L27" s="4">
        <f t="shared" si="3"/>
        <v>44375</v>
      </c>
      <c r="M27" s="5">
        <f t="shared" si="4"/>
        <v>15</v>
      </c>
    </row>
    <row r="28" spans="2:14" x14ac:dyDescent="0.35">
      <c r="D28" t="s">
        <v>140</v>
      </c>
      <c r="G28" s="49">
        <f t="shared" si="0"/>
        <v>44382</v>
      </c>
      <c r="H28" s="50">
        <f t="shared" si="1"/>
        <v>35</v>
      </c>
      <c r="I28" s="50" t="s">
        <v>52</v>
      </c>
      <c r="J28" s="50">
        <f t="shared" si="2"/>
        <v>28</v>
      </c>
      <c r="K28" s="51"/>
      <c r="L28" s="4">
        <f t="shared" si="3"/>
        <v>44382</v>
      </c>
      <c r="M28" s="5">
        <f t="shared" si="4"/>
        <v>16</v>
      </c>
    </row>
    <row r="29" spans="2:14" ht="33.75" customHeight="1" x14ac:dyDescent="0.35">
      <c r="D29" t="s">
        <v>141</v>
      </c>
      <c r="G29" s="4">
        <f t="shared" si="0"/>
        <v>44389</v>
      </c>
      <c r="H29" s="3">
        <f t="shared" si="1"/>
        <v>36</v>
      </c>
      <c r="J29" s="3">
        <f t="shared" si="2"/>
        <v>29</v>
      </c>
      <c r="K29" s="5"/>
      <c r="L29" s="49">
        <f t="shared" si="3"/>
        <v>44389</v>
      </c>
      <c r="M29" s="51">
        <f t="shared" si="4"/>
        <v>17</v>
      </c>
      <c r="N29" s="53" t="s">
        <v>74</v>
      </c>
    </row>
    <row r="30" spans="2:14" x14ac:dyDescent="0.35">
      <c r="D30" t="s">
        <v>142</v>
      </c>
      <c r="G30" s="4">
        <f t="shared" si="0"/>
        <v>44396</v>
      </c>
      <c r="H30">
        <v>37</v>
      </c>
      <c r="I30" s="3" t="s">
        <v>5</v>
      </c>
      <c r="J30" s="3">
        <f t="shared" si="2"/>
        <v>30</v>
      </c>
      <c r="L30" s="4">
        <f t="shared" si="3"/>
        <v>44396</v>
      </c>
      <c r="M30" s="5"/>
    </row>
    <row r="31" spans="2:14" x14ac:dyDescent="0.35">
      <c r="D31" t="s">
        <v>143</v>
      </c>
      <c r="G31" s="4">
        <f t="shared" si="0"/>
        <v>44403</v>
      </c>
      <c r="J31" s="3">
        <f t="shared" si="2"/>
        <v>31</v>
      </c>
      <c r="K31" t="s">
        <v>51</v>
      </c>
      <c r="L31" s="4">
        <f t="shared" ref="L31:L38" si="5">L30+7</f>
        <v>44403</v>
      </c>
      <c r="M31" s="5"/>
    </row>
    <row r="32" spans="2:14" x14ac:dyDescent="0.35">
      <c r="D32" t="s">
        <v>144</v>
      </c>
      <c r="G32" s="4">
        <f t="shared" si="0"/>
        <v>44410</v>
      </c>
      <c r="J32" s="3">
        <f t="shared" si="2"/>
        <v>32</v>
      </c>
      <c r="K32" t="s">
        <v>51</v>
      </c>
      <c r="L32" s="4">
        <f t="shared" si="5"/>
        <v>44410</v>
      </c>
      <c r="M32" s="5"/>
    </row>
    <row r="33" spans="4:13" ht="43.5" x14ac:dyDescent="0.35">
      <c r="D33" t="s">
        <v>145</v>
      </c>
      <c r="G33" s="4">
        <f t="shared" si="0"/>
        <v>44417</v>
      </c>
      <c r="J33" s="3">
        <f t="shared" si="2"/>
        <v>33</v>
      </c>
      <c r="K33" s="44" t="s">
        <v>77</v>
      </c>
      <c r="L33" s="4">
        <f t="shared" si="5"/>
        <v>44417</v>
      </c>
      <c r="M33" s="5"/>
    </row>
    <row r="34" spans="4:13" ht="43.5" x14ac:dyDescent="0.35">
      <c r="G34" s="4">
        <f t="shared" si="0"/>
        <v>44424</v>
      </c>
      <c r="J34" s="3">
        <f t="shared" si="2"/>
        <v>34</v>
      </c>
      <c r="K34" s="44" t="s">
        <v>76</v>
      </c>
      <c r="L34" s="4">
        <f t="shared" si="5"/>
        <v>44424</v>
      </c>
      <c r="M34" s="5"/>
    </row>
    <row r="35" spans="4:13" x14ac:dyDescent="0.35">
      <c r="G35" s="49">
        <f t="shared" si="0"/>
        <v>44431</v>
      </c>
      <c r="H35" s="52"/>
      <c r="I35" s="52"/>
      <c r="J35" s="50">
        <f t="shared" si="2"/>
        <v>35</v>
      </c>
      <c r="K35" s="52" t="s">
        <v>52</v>
      </c>
      <c r="L35" s="4">
        <f t="shared" si="5"/>
        <v>44431</v>
      </c>
      <c r="M35" s="5"/>
    </row>
    <row r="36" spans="4:13" x14ac:dyDescent="0.35">
      <c r="G36" s="4">
        <f t="shared" si="0"/>
        <v>44438</v>
      </c>
      <c r="J36" s="3">
        <f t="shared" si="2"/>
        <v>36</v>
      </c>
      <c r="L36" s="4">
        <f t="shared" si="5"/>
        <v>44438</v>
      </c>
    </row>
    <row r="37" spans="4:13" x14ac:dyDescent="0.35">
      <c r="J37">
        <v>37</v>
      </c>
      <c r="L37" s="4">
        <f t="shared" si="5"/>
        <v>44445</v>
      </c>
    </row>
    <row r="38" spans="4:13" x14ac:dyDescent="0.35">
      <c r="J38">
        <v>38</v>
      </c>
      <c r="K38" t="s">
        <v>5</v>
      </c>
      <c r="L38" s="4">
        <f t="shared" si="5"/>
        <v>44452</v>
      </c>
    </row>
  </sheetData>
  <mergeCells count="2">
    <mergeCell ref="G1:H1"/>
    <mergeCell ref="J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D33" sqref="D33:D35"/>
    </sheetView>
  </sheetViews>
  <sheetFormatPr defaultRowHeight="14.5" x14ac:dyDescent="0.35"/>
  <cols>
    <col min="1" max="1" width="17.54296875" bestFit="1" customWidth="1"/>
    <col min="2" max="2" width="9.7265625" bestFit="1" customWidth="1"/>
    <col min="3" max="3" width="11.1796875" bestFit="1" customWidth="1"/>
    <col min="4" max="4" width="13.453125" bestFit="1" customWidth="1"/>
    <col min="5" max="5" width="17.54296875" bestFit="1" customWidth="1"/>
    <col min="6" max="6" width="13.453125" bestFit="1" customWidth="1"/>
  </cols>
  <sheetData>
    <row r="1" spans="1:6" ht="18.5" x14ac:dyDescent="0.45">
      <c r="A1" s="2" t="s">
        <v>8</v>
      </c>
      <c r="B1" s="2" t="s">
        <v>3</v>
      </c>
      <c r="C1" s="2"/>
      <c r="D1" s="2"/>
      <c r="E1" s="2" t="s">
        <v>9</v>
      </c>
      <c r="F1" s="2" t="s">
        <v>4</v>
      </c>
    </row>
    <row r="2" spans="1:6" x14ac:dyDescent="0.35">
      <c r="A2" s="6"/>
      <c r="B2" s="7" t="s">
        <v>0</v>
      </c>
      <c r="C2" s="7" t="s">
        <v>7</v>
      </c>
      <c r="D2" s="7" t="s">
        <v>8</v>
      </c>
      <c r="E2" s="7" t="s">
        <v>7</v>
      </c>
      <c r="F2" s="7" t="s">
        <v>9</v>
      </c>
    </row>
    <row r="3" spans="1:6" x14ac:dyDescent="0.35">
      <c r="A3" s="6"/>
      <c r="B3" s="8">
        <v>44214</v>
      </c>
      <c r="C3" s="7">
        <v>11</v>
      </c>
      <c r="D3" s="7"/>
      <c r="E3" s="6"/>
      <c r="F3" s="6"/>
    </row>
    <row r="4" spans="1:6" x14ac:dyDescent="0.35">
      <c r="A4" s="6"/>
      <c r="B4" s="8">
        <f>B3+7</f>
        <v>44221</v>
      </c>
      <c r="C4" s="7">
        <f>C3+1</f>
        <v>12</v>
      </c>
      <c r="D4" s="7" t="s">
        <v>1</v>
      </c>
      <c r="E4" s="6"/>
      <c r="F4" s="6"/>
    </row>
    <row r="5" spans="1:6" x14ac:dyDescent="0.35">
      <c r="A5" s="6"/>
      <c r="B5" s="8">
        <f t="shared" ref="B5:B28" si="0">B4+7</f>
        <v>44228</v>
      </c>
      <c r="C5" s="7">
        <f t="shared" ref="C5:C28" si="1">C4+1</f>
        <v>13</v>
      </c>
      <c r="D5" s="7"/>
      <c r="E5" s="6"/>
      <c r="F5" s="6"/>
    </row>
    <row r="6" spans="1:6" x14ac:dyDescent="0.35">
      <c r="A6" s="6"/>
      <c r="B6" s="8">
        <f t="shared" si="0"/>
        <v>44235</v>
      </c>
      <c r="C6" s="7">
        <f t="shared" si="1"/>
        <v>14</v>
      </c>
      <c r="D6" s="7"/>
      <c r="E6" s="6"/>
      <c r="F6" s="6"/>
    </row>
    <row r="7" spans="1:6" x14ac:dyDescent="0.35">
      <c r="A7" s="6"/>
      <c r="B7" s="8">
        <f t="shared" si="0"/>
        <v>44242</v>
      </c>
      <c r="C7" s="7">
        <f t="shared" si="1"/>
        <v>15</v>
      </c>
      <c r="D7" s="7"/>
      <c r="E7" s="6"/>
      <c r="F7" s="6"/>
    </row>
    <row r="8" spans="1:6" x14ac:dyDescent="0.35">
      <c r="A8" s="6"/>
      <c r="B8" s="8">
        <f t="shared" si="0"/>
        <v>44249</v>
      </c>
      <c r="C8" s="7">
        <f t="shared" si="1"/>
        <v>16</v>
      </c>
      <c r="D8" s="7" t="s">
        <v>2</v>
      </c>
      <c r="E8" s="6"/>
      <c r="F8" s="6"/>
    </row>
    <row r="9" spans="1:6" x14ac:dyDescent="0.35">
      <c r="A9" s="6"/>
      <c r="B9" s="8">
        <f>B8+7</f>
        <v>44256</v>
      </c>
      <c r="C9" s="7">
        <f t="shared" si="1"/>
        <v>17</v>
      </c>
      <c r="D9" s="7" t="s">
        <v>1</v>
      </c>
      <c r="E9" s="9"/>
      <c r="F9" s="9"/>
    </row>
    <row r="10" spans="1:6" x14ac:dyDescent="0.35">
      <c r="B10" s="8">
        <f t="shared" si="0"/>
        <v>44263</v>
      </c>
      <c r="C10" s="7">
        <f t="shared" si="1"/>
        <v>18</v>
      </c>
      <c r="D10" s="7"/>
      <c r="E10" s="7">
        <v>11</v>
      </c>
      <c r="F10" s="7" t="s">
        <v>2</v>
      </c>
    </row>
    <row r="11" spans="1:6" x14ac:dyDescent="0.35">
      <c r="B11" s="10">
        <f t="shared" si="0"/>
        <v>44270</v>
      </c>
      <c r="C11" s="11">
        <f t="shared" si="1"/>
        <v>19</v>
      </c>
      <c r="D11" s="11"/>
      <c r="E11" s="11">
        <f t="shared" ref="E11:E23" si="2">E10+1</f>
        <v>12</v>
      </c>
      <c r="F11" s="11" t="s">
        <v>1</v>
      </c>
    </row>
    <row r="12" spans="1:6" x14ac:dyDescent="0.35">
      <c r="B12" s="4">
        <f t="shared" si="0"/>
        <v>44277</v>
      </c>
      <c r="C12" s="3">
        <f t="shared" si="1"/>
        <v>20</v>
      </c>
      <c r="D12" s="3"/>
      <c r="E12" s="3">
        <f t="shared" si="2"/>
        <v>13</v>
      </c>
      <c r="F12" s="3"/>
    </row>
    <row r="13" spans="1:6" x14ac:dyDescent="0.35">
      <c r="B13" s="4">
        <f t="shared" si="0"/>
        <v>44284</v>
      </c>
      <c r="C13" s="3">
        <f t="shared" si="1"/>
        <v>21</v>
      </c>
      <c r="D13" s="3" t="s">
        <v>1</v>
      </c>
      <c r="E13" s="3">
        <f t="shared" si="2"/>
        <v>14</v>
      </c>
      <c r="F13" s="3"/>
    </row>
    <row r="14" spans="1:6" x14ac:dyDescent="0.35">
      <c r="B14" s="4">
        <f t="shared" si="0"/>
        <v>44291</v>
      </c>
      <c r="C14" s="3">
        <f t="shared" si="1"/>
        <v>22</v>
      </c>
      <c r="D14" s="3"/>
      <c r="E14" s="3">
        <f t="shared" si="2"/>
        <v>15</v>
      </c>
      <c r="F14" s="3" t="s">
        <v>2</v>
      </c>
    </row>
    <row r="15" spans="1:6" x14ac:dyDescent="0.35">
      <c r="B15" s="4">
        <f t="shared" si="0"/>
        <v>44298</v>
      </c>
      <c r="C15" s="3">
        <f t="shared" si="1"/>
        <v>23</v>
      </c>
      <c r="D15" s="3"/>
      <c r="E15" s="3">
        <f t="shared" si="2"/>
        <v>16</v>
      </c>
      <c r="F15" s="3" t="s">
        <v>1</v>
      </c>
    </row>
    <row r="16" spans="1:6" x14ac:dyDescent="0.35">
      <c r="B16" s="4">
        <f t="shared" si="0"/>
        <v>44305</v>
      </c>
      <c r="C16" s="3">
        <f t="shared" si="1"/>
        <v>24</v>
      </c>
      <c r="D16" s="3" t="s">
        <v>2</v>
      </c>
      <c r="E16" s="3">
        <f t="shared" si="2"/>
        <v>17</v>
      </c>
      <c r="F16" s="3"/>
    </row>
    <row r="17" spans="2:6" x14ac:dyDescent="0.35">
      <c r="B17" s="4">
        <f t="shared" si="0"/>
        <v>44312</v>
      </c>
      <c r="C17" s="3">
        <f t="shared" si="1"/>
        <v>25</v>
      </c>
      <c r="D17" s="3" t="s">
        <v>1</v>
      </c>
      <c r="E17" s="3">
        <f t="shared" si="2"/>
        <v>18</v>
      </c>
      <c r="F17" s="3"/>
    </row>
    <row r="18" spans="2:6" x14ac:dyDescent="0.35">
      <c r="B18" s="4">
        <f t="shared" si="0"/>
        <v>44319</v>
      </c>
      <c r="C18" s="3">
        <f t="shared" si="1"/>
        <v>26</v>
      </c>
      <c r="D18" s="3"/>
      <c r="E18" s="3">
        <f t="shared" si="2"/>
        <v>19</v>
      </c>
      <c r="F18" s="3"/>
    </row>
    <row r="19" spans="2:6" x14ac:dyDescent="0.35">
      <c r="B19" s="4">
        <f t="shared" si="0"/>
        <v>44326</v>
      </c>
      <c r="C19" s="3">
        <f t="shared" si="1"/>
        <v>27</v>
      </c>
      <c r="D19" s="3"/>
      <c r="E19" s="3">
        <f t="shared" si="2"/>
        <v>20</v>
      </c>
      <c r="F19" s="3" t="s">
        <v>1</v>
      </c>
    </row>
    <row r="20" spans="2:6" x14ac:dyDescent="0.35">
      <c r="B20" s="4">
        <f t="shared" si="0"/>
        <v>44333</v>
      </c>
      <c r="C20" s="3">
        <f t="shared" si="1"/>
        <v>28</v>
      </c>
      <c r="D20" s="3"/>
      <c r="E20" s="3">
        <f t="shared" si="2"/>
        <v>21</v>
      </c>
      <c r="F20" s="3"/>
    </row>
    <row r="21" spans="2:6" x14ac:dyDescent="0.35">
      <c r="B21" s="4">
        <f t="shared" si="0"/>
        <v>44340</v>
      </c>
      <c r="C21" s="3">
        <f t="shared" si="1"/>
        <v>29</v>
      </c>
      <c r="D21" s="3" t="s">
        <v>1</v>
      </c>
      <c r="E21" s="3">
        <f t="shared" si="2"/>
        <v>22</v>
      </c>
      <c r="F21" s="3"/>
    </row>
    <row r="22" spans="2:6" x14ac:dyDescent="0.35">
      <c r="B22" s="4">
        <f t="shared" si="0"/>
        <v>44347</v>
      </c>
      <c r="C22" s="3">
        <f t="shared" si="1"/>
        <v>30</v>
      </c>
      <c r="D22" s="3"/>
      <c r="E22" s="3">
        <f t="shared" si="2"/>
        <v>23</v>
      </c>
      <c r="F22" s="3"/>
    </row>
    <row r="23" spans="2:6" x14ac:dyDescent="0.35">
      <c r="B23" s="4">
        <f t="shared" si="0"/>
        <v>44354</v>
      </c>
      <c r="C23" s="3">
        <f t="shared" si="1"/>
        <v>31</v>
      </c>
      <c r="D23" s="3"/>
      <c r="E23" s="3">
        <f t="shared" si="2"/>
        <v>24</v>
      </c>
      <c r="F23" s="3" t="s">
        <v>6</v>
      </c>
    </row>
    <row r="24" spans="2:6" x14ac:dyDescent="0.35">
      <c r="B24" s="4">
        <f t="shared" si="0"/>
        <v>44361</v>
      </c>
      <c r="C24" s="3">
        <f t="shared" si="1"/>
        <v>32</v>
      </c>
      <c r="D24" s="3"/>
    </row>
    <row r="25" spans="2:6" x14ac:dyDescent="0.35">
      <c r="B25" s="4">
        <f t="shared" si="0"/>
        <v>44368</v>
      </c>
      <c r="C25" s="3">
        <f t="shared" si="1"/>
        <v>33</v>
      </c>
      <c r="D25" s="3" t="s">
        <v>1</v>
      </c>
      <c r="F25" s="5"/>
    </row>
    <row r="26" spans="2:6" x14ac:dyDescent="0.35">
      <c r="B26" s="4">
        <f t="shared" si="0"/>
        <v>44375</v>
      </c>
      <c r="C26" s="3">
        <f t="shared" si="1"/>
        <v>34</v>
      </c>
      <c r="D26" s="3"/>
      <c r="F26" s="5"/>
    </row>
    <row r="27" spans="2:6" x14ac:dyDescent="0.35">
      <c r="B27" s="4">
        <f t="shared" si="0"/>
        <v>44382</v>
      </c>
      <c r="C27" s="3">
        <f t="shared" si="1"/>
        <v>35</v>
      </c>
      <c r="D27" s="3" t="s">
        <v>2</v>
      </c>
      <c r="F27" s="5"/>
    </row>
    <row r="28" spans="2:6" x14ac:dyDescent="0.35">
      <c r="B28" s="4">
        <f t="shared" si="0"/>
        <v>44389</v>
      </c>
      <c r="C28" s="3">
        <f t="shared" si="1"/>
        <v>36</v>
      </c>
      <c r="D28" s="3" t="s">
        <v>5</v>
      </c>
      <c r="F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selection activeCell="B9" sqref="B9"/>
    </sheetView>
  </sheetViews>
  <sheetFormatPr defaultRowHeight="14.5" x14ac:dyDescent="0.35"/>
  <cols>
    <col min="3" max="3" width="11.26953125" bestFit="1" customWidth="1"/>
    <col min="4" max="4" width="12.1796875" bestFit="1" customWidth="1"/>
    <col min="5" max="6" width="19.453125" bestFit="1" customWidth="1"/>
  </cols>
  <sheetData>
    <row r="1" spans="1:6" x14ac:dyDescent="0.35">
      <c r="A1" t="s">
        <v>23</v>
      </c>
    </row>
    <row r="2" spans="1:6" ht="15" thickBot="1" x14ac:dyDescent="0.4">
      <c r="A2" t="s">
        <v>14</v>
      </c>
      <c r="B2" t="s">
        <v>15</v>
      </c>
      <c r="C2" t="s">
        <v>30</v>
      </c>
      <c r="D2" t="s">
        <v>16</v>
      </c>
      <c r="E2" t="s">
        <v>17</v>
      </c>
      <c r="F2" t="s">
        <v>24</v>
      </c>
    </row>
    <row r="3" spans="1:6" x14ac:dyDescent="0.35">
      <c r="A3" s="12">
        <v>100</v>
      </c>
      <c r="B3" s="13">
        <v>92</v>
      </c>
      <c r="C3" t="s">
        <v>26</v>
      </c>
      <c r="D3" s="14" t="s">
        <v>10</v>
      </c>
      <c r="E3" s="14" t="s">
        <v>11</v>
      </c>
      <c r="F3" t="s">
        <v>18</v>
      </c>
    </row>
    <row r="4" spans="1:6" x14ac:dyDescent="0.35">
      <c r="A4" s="15">
        <v>101</v>
      </c>
      <c r="B4" s="13">
        <v>92</v>
      </c>
      <c r="C4" t="s">
        <v>29</v>
      </c>
      <c r="D4" s="13" t="s">
        <v>10</v>
      </c>
      <c r="E4" s="13" t="s">
        <v>11</v>
      </c>
      <c r="F4" t="s">
        <v>18</v>
      </c>
    </row>
    <row r="5" spans="1:6" x14ac:dyDescent="0.35">
      <c r="A5" s="15">
        <v>102</v>
      </c>
      <c r="B5" s="13">
        <v>93</v>
      </c>
      <c r="C5" t="s">
        <v>26</v>
      </c>
      <c r="D5" s="13" t="s">
        <v>10</v>
      </c>
      <c r="E5" s="13" t="s">
        <v>11</v>
      </c>
      <c r="F5" t="s">
        <v>18</v>
      </c>
    </row>
    <row r="6" spans="1:6" x14ac:dyDescent="0.35">
      <c r="A6" s="15">
        <v>103</v>
      </c>
      <c r="B6" s="13">
        <v>93</v>
      </c>
      <c r="C6" t="s">
        <v>29</v>
      </c>
      <c r="D6" s="13" t="s">
        <v>10</v>
      </c>
      <c r="E6" s="13" t="s">
        <v>11</v>
      </c>
      <c r="F6" t="s">
        <v>18</v>
      </c>
    </row>
    <row r="7" spans="1:6" x14ac:dyDescent="0.35">
      <c r="A7" s="15">
        <v>104</v>
      </c>
      <c r="B7" s="13">
        <v>94</v>
      </c>
      <c r="C7" t="s">
        <v>26</v>
      </c>
      <c r="D7" s="13" t="s">
        <v>10</v>
      </c>
      <c r="E7" s="13" t="s">
        <v>11</v>
      </c>
      <c r="F7" t="s">
        <v>18</v>
      </c>
    </row>
    <row r="8" spans="1:6" x14ac:dyDescent="0.35">
      <c r="A8" s="15">
        <v>105</v>
      </c>
      <c r="B8" s="13">
        <v>94</v>
      </c>
      <c r="C8" t="s">
        <v>29</v>
      </c>
      <c r="D8" s="13" t="s">
        <v>10</v>
      </c>
      <c r="E8" s="13" t="s">
        <v>11</v>
      </c>
      <c r="F8" t="s">
        <v>18</v>
      </c>
    </row>
    <row r="9" spans="1:6" x14ac:dyDescent="0.35">
      <c r="A9" s="15">
        <v>106</v>
      </c>
      <c r="B9" s="13">
        <v>90</v>
      </c>
      <c r="C9" t="s">
        <v>26</v>
      </c>
      <c r="D9" s="13" t="s">
        <v>12</v>
      </c>
      <c r="E9" s="13" t="s">
        <v>13</v>
      </c>
      <c r="F9" t="s">
        <v>19</v>
      </c>
    </row>
    <row r="10" spans="1:6" x14ac:dyDescent="0.35">
      <c r="A10" s="15">
        <v>107</v>
      </c>
      <c r="B10" s="13">
        <v>90</v>
      </c>
      <c r="C10" t="s">
        <v>29</v>
      </c>
      <c r="D10" s="13" t="s">
        <v>12</v>
      </c>
      <c r="E10" s="13" t="s">
        <v>13</v>
      </c>
      <c r="F10" t="s">
        <v>19</v>
      </c>
    </row>
    <row r="11" spans="1:6" x14ac:dyDescent="0.35">
      <c r="A11" s="15">
        <v>108</v>
      </c>
      <c r="B11" s="13">
        <v>87</v>
      </c>
      <c r="C11" t="s">
        <v>26</v>
      </c>
      <c r="D11" s="13" t="s">
        <v>12</v>
      </c>
      <c r="E11" s="13" t="s">
        <v>13</v>
      </c>
      <c r="F11" t="s">
        <v>27</v>
      </c>
    </row>
    <row r="12" spans="1:6" x14ac:dyDescent="0.35">
      <c r="A12" s="15">
        <v>109</v>
      </c>
      <c r="B12" s="13">
        <v>87</v>
      </c>
      <c r="C12" t="s">
        <v>29</v>
      </c>
      <c r="D12" s="13" t="s">
        <v>12</v>
      </c>
      <c r="E12" s="13" t="s">
        <v>13</v>
      </c>
      <c r="F12" t="s">
        <v>27</v>
      </c>
    </row>
    <row r="13" spans="1:6" x14ac:dyDescent="0.35">
      <c r="A13" s="15">
        <v>110</v>
      </c>
      <c r="B13" s="13">
        <v>89</v>
      </c>
      <c r="C13" t="s">
        <v>26</v>
      </c>
      <c r="D13" s="13" t="s">
        <v>12</v>
      </c>
      <c r="E13" s="13" t="s">
        <v>13</v>
      </c>
      <c r="F13" t="s">
        <v>19</v>
      </c>
    </row>
    <row r="14" spans="1:6" x14ac:dyDescent="0.35">
      <c r="A14" s="15">
        <v>111</v>
      </c>
      <c r="B14" s="13">
        <v>89</v>
      </c>
      <c r="C14" t="s">
        <v>29</v>
      </c>
      <c r="D14" s="13" t="s">
        <v>12</v>
      </c>
      <c r="E14" s="13" t="s">
        <v>13</v>
      </c>
      <c r="F14" t="s">
        <v>19</v>
      </c>
    </row>
    <row r="15" spans="1:6" x14ac:dyDescent="0.35">
      <c r="A15" s="15">
        <v>112</v>
      </c>
      <c r="B15" s="13">
        <v>85</v>
      </c>
      <c r="C15" t="s">
        <v>26</v>
      </c>
      <c r="D15" s="13" t="s">
        <v>12</v>
      </c>
      <c r="E15" s="13" t="s">
        <v>13</v>
      </c>
      <c r="F15" t="s">
        <v>20</v>
      </c>
    </row>
    <row r="16" spans="1:6" x14ac:dyDescent="0.35">
      <c r="A16" s="15">
        <v>113</v>
      </c>
      <c r="B16" s="13">
        <v>85</v>
      </c>
      <c r="C16" t="s">
        <v>29</v>
      </c>
      <c r="D16" s="13" t="s">
        <v>12</v>
      </c>
      <c r="E16" s="13" t="s">
        <v>13</v>
      </c>
      <c r="F16" t="s">
        <v>21</v>
      </c>
    </row>
    <row r="17" spans="1:6" x14ac:dyDescent="0.35">
      <c r="A17" s="15">
        <v>114</v>
      </c>
      <c r="B17" s="13">
        <v>1</v>
      </c>
      <c r="C17" t="s">
        <v>26</v>
      </c>
      <c r="D17" s="13" t="s">
        <v>10</v>
      </c>
      <c r="E17" s="13" t="s">
        <v>11</v>
      </c>
      <c r="F17" t="s">
        <v>22</v>
      </c>
    </row>
    <row r="18" spans="1:6" x14ac:dyDescent="0.35">
      <c r="A18" s="15">
        <v>115</v>
      </c>
      <c r="B18" s="13">
        <v>1</v>
      </c>
      <c r="C18" t="s">
        <v>29</v>
      </c>
      <c r="D18" s="13" t="s">
        <v>10</v>
      </c>
      <c r="E18" s="13" t="s">
        <v>11</v>
      </c>
      <c r="F18" t="s">
        <v>22</v>
      </c>
    </row>
    <row r="19" spans="1:6" x14ac:dyDescent="0.35">
      <c r="A19" s="15">
        <v>116</v>
      </c>
      <c r="B19" s="13">
        <v>99</v>
      </c>
      <c r="C19" t="s">
        <v>26</v>
      </c>
      <c r="D19" s="13" t="s">
        <v>10</v>
      </c>
      <c r="E19" s="13" t="s">
        <v>11</v>
      </c>
      <c r="F19" t="s">
        <v>22</v>
      </c>
    </row>
    <row r="20" spans="1:6" x14ac:dyDescent="0.35">
      <c r="A20" s="15">
        <v>117</v>
      </c>
      <c r="B20" s="13">
        <v>99</v>
      </c>
      <c r="C20" t="s">
        <v>29</v>
      </c>
      <c r="D20" s="13" t="s">
        <v>10</v>
      </c>
      <c r="E20" s="13" t="s">
        <v>11</v>
      </c>
      <c r="F20" t="s">
        <v>22</v>
      </c>
    </row>
    <row r="21" spans="1:6" x14ac:dyDescent="0.35">
      <c r="A21" s="16">
        <v>118</v>
      </c>
      <c r="B21" s="17">
        <v>86</v>
      </c>
      <c r="C21" t="s">
        <v>26</v>
      </c>
      <c r="D21" s="13" t="s">
        <v>12</v>
      </c>
      <c r="E21" s="13" t="s">
        <v>13</v>
      </c>
      <c r="F21" t="s">
        <v>19</v>
      </c>
    </row>
    <row r="22" spans="1:6" x14ac:dyDescent="0.35">
      <c r="A22" s="16">
        <v>119</v>
      </c>
      <c r="B22" s="17">
        <v>86</v>
      </c>
      <c r="C22" t="s">
        <v>29</v>
      </c>
      <c r="D22" s="13" t="s">
        <v>12</v>
      </c>
      <c r="E22" s="13" t="s">
        <v>13</v>
      </c>
      <c r="F22" t="s">
        <v>19</v>
      </c>
    </row>
    <row r="23" spans="1:6" x14ac:dyDescent="0.35">
      <c r="A23" s="16">
        <v>120</v>
      </c>
      <c r="B23" s="17">
        <v>88</v>
      </c>
      <c r="C23" t="s">
        <v>26</v>
      </c>
      <c r="D23" s="13" t="s">
        <v>12</v>
      </c>
      <c r="E23" s="13" t="s">
        <v>13</v>
      </c>
      <c r="F23" t="s">
        <v>20</v>
      </c>
    </row>
    <row r="24" spans="1:6" x14ac:dyDescent="0.35">
      <c r="A24" s="16">
        <v>121</v>
      </c>
      <c r="B24" s="17">
        <v>2</v>
      </c>
      <c r="C24" t="s">
        <v>26</v>
      </c>
      <c r="D24" s="13" t="s">
        <v>10</v>
      </c>
      <c r="E24" s="13" t="s">
        <v>11</v>
      </c>
      <c r="F24" t="s">
        <v>22</v>
      </c>
    </row>
    <row r="25" spans="1:6" x14ac:dyDescent="0.35">
      <c r="A25" s="16">
        <v>122</v>
      </c>
      <c r="B25" s="17">
        <v>2</v>
      </c>
      <c r="C25" t="s">
        <v>29</v>
      </c>
      <c r="D25" s="13" t="s">
        <v>10</v>
      </c>
      <c r="E25" s="13" t="s">
        <v>11</v>
      </c>
      <c r="F25" t="s">
        <v>22</v>
      </c>
    </row>
    <row r="26" spans="1:6" x14ac:dyDescent="0.35">
      <c r="A26" s="16">
        <v>123</v>
      </c>
      <c r="B26" s="17">
        <v>8000</v>
      </c>
      <c r="C26" t="s">
        <v>26</v>
      </c>
      <c r="D26" s="13" t="s">
        <v>10</v>
      </c>
      <c r="E26" s="13" t="s">
        <v>11</v>
      </c>
      <c r="F26" t="s">
        <v>22</v>
      </c>
    </row>
    <row r="27" spans="1:6" x14ac:dyDescent="0.35">
      <c r="A27" s="16">
        <v>124</v>
      </c>
      <c r="B27" s="17">
        <v>8000</v>
      </c>
      <c r="C27" t="s">
        <v>29</v>
      </c>
      <c r="D27" s="13" t="s">
        <v>10</v>
      </c>
      <c r="E27" s="13" t="s">
        <v>11</v>
      </c>
      <c r="F27" t="s">
        <v>22</v>
      </c>
    </row>
    <row r="28" spans="1:6" x14ac:dyDescent="0.35">
      <c r="A28" s="16">
        <v>125</v>
      </c>
      <c r="B28" s="17">
        <v>97</v>
      </c>
      <c r="C28" t="s">
        <v>26</v>
      </c>
      <c r="D28" s="13" t="s">
        <v>10</v>
      </c>
      <c r="E28" s="13" t="s">
        <v>11</v>
      </c>
      <c r="F28" t="s">
        <v>22</v>
      </c>
    </row>
    <row r="29" spans="1:6" x14ac:dyDescent="0.35">
      <c r="A29" s="16">
        <v>126</v>
      </c>
      <c r="B29" s="17">
        <v>97</v>
      </c>
      <c r="C29" t="s">
        <v>29</v>
      </c>
      <c r="D29" s="13" t="s">
        <v>10</v>
      </c>
      <c r="E29" s="13" t="s">
        <v>11</v>
      </c>
      <c r="F29" t="s">
        <v>22</v>
      </c>
    </row>
    <row r="30" spans="1:6" x14ac:dyDescent="0.35">
      <c r="A30" s="16">
        <v>127</v>
      </c>
      <c r="B30" s="17">
        <v>98</v>
      </c>
      <c r="C30" t="s">
        <v>26</v>
      </c>
      <c r="D30" s="13" t="s">
        <v>10</v>
      </c>
      <c r="E30" s="13" t="s">
        <v>11</v>
      </c>
      <c r="F30" t="s">
        <v>22</v>
      </c>
    </row>
    <row r="31" spans="1:6" x14ac:dyDescent="0.35">
      <c r="A31" s="16">
        <v>128</v>
      </c>
      <c r="B31" s="17">
        <v>98</v>
      </c>
      <c r="C31" t="s">
        <v>29</v>
      </c>
      <c r="D31" s="13" t="s">
        <v>10</v>
      </c>
      <c r="E31" s="13" t="s">
        <v>11</v>
      </c>
      <c r="F31" t="s">
        <v>22</v>
      </c>
    </row>
    <row r="32" spans="1:6" x14ac:dyDescent="0.35">
      <c r="A32" s="18">
        <v>129</v>
      </c>
      <c r="B32" s="19">
        <v>67</v>
      </c>
      <c r="C32" t="s">
        <v>26</v>
      </c>
      <c r="D32" s="20" t="s">
        <v>12</v>
      </c>
      <c r="E32" s="20" t="s">
        <v>13</v>
      </c>
      <c r="F32" t="s">
        <v>20</v>
      </c>
    </row>
    <row r="34" spans="1:6" x14ac:dyDescent="0.35">
      <c r="A34" t="s">
        <v>25</v>
      </c>
    </row>
    <row r="35" spans="1:6" x14ac:dyDescent="0.35">
      <c r="A35" s="36" t="s">
        <v>14</v>
      </c>
      <c r="B35" s="36" t="s">
        <v>15</v>
      </c>
      <c r="C35" s="36"/>
      <c r="D35" s="5" t="s">
        <v>16</v>
      </c>
      <c r="E35" s="36" t="s">
        <v>17</v>
      </c>
      <c r="F35" s="36" t="s">
        <v>24</v>
      </c>
    </row>
    <row r="36" spans="1:6" x14ac:dyDescent="0.35">
      <c r="A36" s="33">
        <v>130</v>
      </c>
      <c r="B36" s="34">
        <v>163</v>
      </c>
      <c r="C36" s="37" t="s">
        <v>26</v>
      </c>
      <c r="D36" s="42" t="s">
        <v>12</v>
      </c>
      <c r="E36" t="s">
        <v>28</v>
      </c>
      <c r="F36" s="35" t="s">
        <v>27</v>
      </c>
    </row>
    <row r="37" spans="1:6" x14ac:dyDescent="0.35">
      <c r="A37" s="21">
        <v>131</v>
      </c>
      <c r="B37" s="22">
        <v>163</v>
      </c>
      <c r="C37" s="38" t="s">
        <v>29</v>
      </c>
      <c r="D37" s="42" t="s">
        <v>12</v>
      </c>
      <c r="E37" t="s">
        <v>28</v>
      </c>
      <c r="F37" s="23" t="s">
        <v>27</v>
      </c>
    </row>
    <row r="38" spans="1:6" x14ac:dyDescent="0.35">
      <c r="A38" s="24">
        <v>132</v>
      </c>
      <c r="B38" s="25">
        <v>164</v>
      </c>
      <c r="C38" s="39" t="s">
        <v>26</v>
      </c>
      <c r="D38" s="42" t="s">
        <v>12</v>
      </c>
      <c r="E38" t="s">
        <v>28</v>
      </c>
      <c r="F38" s="26" t="s">
        <v>19</v>
      </c>
    </row>
    <row r="39" spans="1:6" x14ac:dyDescent="0.35">
      <c r="A39" s="21">
        <v>133</v>
      </c>
      <c r="B39" s="22">
        <v>164</v>
      </c>
      <c r="C39" s="38" t="s">
        <v>29</v>
      </c>
      <c r="D39" s="42" t="s">
        <v>12</v>
      </c>
      <c r="E39" t="s">
        <v>28</v>
      </c>
      <c r="F39" s="23" t="s">
        <v>27</v>
      </c>
    </row>
    <row r="40" spans="1:6" x14ac:dyDescent="0.35">
      <c r="A40" s="24">
        <v>134</v>
      </c>
      <c r="B40" s="25">
        <v>169</v>
      </c>
      <c r="C40" s="39" t="s">
        <v>26</v>
      </c>
      <c r="D40" s="42" t="s">
        <v>12</v>
      </c>
      <c r="E40" t="s">
        <v>28</v>
      </c>
      <c r="F40" s="26" t="s">
        <v>19</v>
      </c>
    </row>
    <row r="41" spans="1:6" x14ac:dyDescent="0.35">
      <c r="A41" s="24">
        <v>135</v>
      </c>
      <c r="B41" s="25">
        <v>169</v>
      </c>
      <c r="C41" s="39" t="s">
        <v>29</v>
      </c>
      <c r="D41" s="42" t="s">
        <v>12</v>
      </c>
      <c r="E41" t="s">
        <v>28</v>
      </c>
      <c r="F41" s="26" t="s">
        <v>19</v>
      </c>
    </row>
    <row r="42" spans="1:6" x14ac:dyDescent="0.35">
      <c r="A42" s="27">
        <v>136</v>
      </c>
      <c r="B42" s="28">
        <v>514</v>
      </c>
      <c r="C42" s="40" t="s">
        <v>26</v>
      </c>
      <c r="D42" s="42" t="s">
        <v>10</v>
      </c>
      <c r="E42" t="s">
        <v>11</v>
      </c>
      <c r="F42" s="29" t="s">
        <v>19</v>
      </c>
    </row>
    <row r="43" spans="1:6" x14ac:dyDescent="0.35">
      <c r="A43" s="27">
        <v>137</v>
      </c>
      <c r="B43" s="28">
        <v>514</v>
      </c>
      <c r="C43" s="40" t="s">
        <v>29</v>
      </c>
      <c r="D43" s="42" t="s">
        <v>10</v>
      </c>
      <c r="E43" t="s">
        <v>11</v>
      </c>
      <c r="F43" s="29" t="s">
        <v>19</v>
      </c>
    </row>
    <row r="44" spans="1:6" x14ac:dyDescent="0.35">
      <c r="A44" s="27">
        <v>138</v>
      </c>
      <c r="B44" s="28">
        <v>513</v>
      </c>
      <c r="C44" s="40" t="s">
        <v>26</v>
      </c>
      <c r="D44" s="42" t="s">
        <v>10</v>
      </c>
      <c r="E44" t="s">
        <v>11</v>
      </c>
      <c r="F44" s="29" t="s">
        <v>19</v>
      </c>
    </row>
    <row r="45" spans="1:6" x14ac:dyDescent="0.35">
      <c r="A45" s="27">
        <v>139</v>
      </c>
      <c r="B45" s="28">
        <v>513</v>
      </c>
      <c r="C45" s="40" t="s">
        <v>29</v>
      </c>
      <c r="D45" s="42" t="s">
        <v>10</v>
      </c>
      <c r="E45" t="s">
        <v>11</v>
      </c>
      <c r="F45" s="29" t="s">
        <v>19</v>
      </c>
    </row>
    <row r="46" spans="1:6" x14ac:dyDescent="0.35">
      <c r="A46" s="27">
        <v>140</v>
      </c>
      <c r="B46" s="28">
        <v>512</v>
      </c>
      <c r="C46" s="40" t="s">
        <v>26</v>
      </c>
      <c r="D46" s="42" t="s">
        <v>10</v>
      </c>
      <c r="E46" t="s">
        <v>11</v>
      </c>
      <c r="F46" s="29" t="s">
        <v>19</v>
      </c>
    </row>
    <row r="47" spans="1:6" x14ac:dyDescent="0.35">
      <c r="A47" s="27">
        <v>141</v>
      </c>
      <c r="B47" s="28">
        <v>512</v>
      </c>
      <c r="C47" s="40" t="s">
        <v>29</v>
      </c>
      <c r="D47" s="42" t="s">
        <v>10</v>
      </c>
      <c r="E47" t="s">
        <v>11</v>
      </c>
      <c r="F47" s="29" t="s">
        <v>19</v>
      </c>
    </row>
    <row r="48" spans="1:6" x14ac:dyDescent="0.35">
      <c r="A48" s="30">
        <v>142</v>
      </c>
      <c r="B48" s="31">
        <v>519</v>
      </c>
      <c r="C48" s="41" t="s">
        <v>26</v>
      </c>
      <c r="D48" s="42" t="s">
        <v>10</v>
      </c>
      <c r="E48" t="s">
        <v>11</v>
      </c>
      <c r="F48" s="32" t="s">
        <v>27</v>
      </c>
    </row>
    <row r="49" spans="1:6" x14ac:dyDescent="0.35">
      <c r="A49" s="30">
        <v>143</v>
      </c>
      <c r="B49" s="31">
        <v>519</v>
      </c>
      <c r="C49" s="41" t="s">
        <v>29</v>
      </c>
      <c r="D49" s="42" t="s">
        <v>10</v>
      </c>
      <c r="E49" t="s">
        <v>11</v>
      </c>
      <c r="F49" s="32" t="s">
        <v>27</v>
      </c>
    </row>
    <row r="50" spans="1:6" x14ac:dyDescent="0.35">
      <c r="A50" s="27">
        <v>144</v>
      </c>
      <c r="B50" s="28">
        <v>515</v>
      </c>
      <c r="C50" s="40" t="s">
        <v>26</v>
      </c>
      <c r="D50" s="42" t="s">
        <v>10</v>
      </c>
      <c r="E50" t="s">
        <v>11</v>
      </c>
      <c r="F50" s="29" t="s">
        <v>19</v>
      </c>
    </row>
    <row r="51" spans="1:6" x14ac:dyDescent="0.35">
      <c r="A51" s="27">
        <v>145</v>
      </c>
      <c r="B51" s="28">
        <v>515</v>
      </c>
      <c r="C51" s="40" t="s">
        <v>29</v>
      </c>
      <c r="D51" s="42" t="s">
        <v>10</v>
      </c>
      <c r="E51" t="s">
        <v>11</v>
      </c>
      <c r="F51" s="29" t="s">
        <v>19</v>
      </c>
    </row>
    <row r="52" spans="1:6" x14ac:dyDescent="0.35">
      <c r="A52" s="30">
        <v>146</v>
      </c>
      <c r="B52" s="31">
        <v>516</v>
      </c>
      <c r="C52" s="41" t="s">
        <v>26</v>
      </c>
      <c r="D52" s="42" t="s">
        <v>10</v>
      </c>
      <c r="E52" t="s">
        <v>11</v>
      </c>
      <c r="F52" s="32" t="s">
        <v>27</v>
      </c>
    </row>
    <row r="53" spans="1:6" x14ac:dyDescent="0.35">
      <c r="A53" s="30">
        <v>147</v>
      </c>
      <c r="B53" s="31">
        <v>516</v>
      </c>
      <c r="C53" s="41" t="s">
        <v>29</v>
      </c>
      <c r="D53" s="42" t="s">
        <v>10</v>
      </c>
      <c r="E53" t="s">
        <v>11</v>
      </c>
      <c r="F53" s="32" t="s">
        <v>27</v>
      </c>
    </row>
    <row r="54" spans="1:6" x14ac:dyDescent="0.35">
      <c r="A54" s="30">
        <v>148</v>
      </c>
      <c r="B54" s="31">
        <v>518</v>
      </c>
      <c r="C54" s="41" t="s">
        <v>26</v>
      </c>
      <c r="D54" s="42" t="s">
        <v>10</v>
      </c>
      <c r="E54" t="s">
        <v>11</v>
      </c>
      <c r="F54" s="32" t="s">
        <v>27</v>
      </c>
    </row>
    <row r="55" spans="1:6" x14ac:dyDescent="0.35">
      <c r="A55" s="30">
        <v>149</v>
      </c>
      <c r="B55" s="31">
        <v>518</v>
      </c>
      <c r="C55" s="41" t="s">
        <v>29</v>
      </c>
      <c r="D55" s="42" t="s">
        <v>10</v>
      </c>
      <c r="E55" t="s">
        <v>11</v>
      </c>
      <c r="F55" s="32" t="s">
        <v>27</v>
      </c>
    </row>
    <row r="56" spans="1:6" x14ac:dyDescent="0.35">
      <c r="A56" s="30">
        <v>150</v>
      </c>
      <c r="B56" s="31">
        <v>517</v>
      </c>
      <c r="C56" s="41" t="s">
        <v>26</v>
      </c>
      <c r="D56" s="42" t="s">
        <v>10</v>
      </c>
      <c r="E56" t="s">
        <v>11</v>
      </c>
      <c r="F56" s="32" t="s">
        <v>27</v>
      </c>
    </row>
    <row r="57" spans="1:6" x14ac:dyDescent="0.35">
      <c r="A57" s="30">
        <v>151</v>
      </c>
      <c r="B57" s="31">
        <v>517</v>
      </c>
      <c r="C57" s="41" t="s">
        <v>29</v>
      </c>
      <c r="D57" s="42" t="s">
        <v>10</v>
      </c>
      <c r="E57" t="s">
        <v>11</v>
      </c>
      <c r="F57" s="32" t="s">
        <v>27</v>
      </c>
    </row>
    <row r="58" spans="1:6" x14ac:dyDescent="0.35">
      <c r="A58" s="21">
        <v>152</v>
      </c>
      <c r="B58" s="22">
        <v>166</v>
      </c>
      <c r="C58" s="23" t="s">
        <v>26</v>
      </c>
      <c r="D58" s="42" t="s">
        <v>12</v>
      </c>
      <c r="E58" t="s">
        <v>28</v>
      </c>
      <c r="F58" s="23" t="s">
        <v>27</v>
      </c>
    </row>
    <row r="59" spans="1:6" x14ac:dyDescent="0.35">
      <c r="A59" s="24">
        <v>153</v>
      </c>
      <c r="B59" s="25">
        <v>166</v>
      </c>
      <c r="C59" s="26" t="s">
        <v>29</v>
      </c>
      <c r="D59" s="42" t="s">
        <v>12</v>
      </c>
      <c r="E59" t="s">
        <v>28</v>
      </c>
      <c r="F59" s="26" t="s">
        <v>19</v>
      </c>
    </row>
    <row r="60" spans="1:6" x14ac:dyDescent="0.35">
      <c r="A60" s="21">
        <v>154</v>
      </c>
      <c r="B60" s="22">
        <v>162</v>
      </c>
      <c r="C60" s="23" t="s">
        <v>26</v>
      </c>
      <c r="D60" s="42" t="s">
        <v>12</v>
      </c>
      <c r="E60" t="s">
        <v>28</v>
      </c>
      <c r="F60" s="23" t="s">
        <v>27</v>
      </c>
    </row>
    <row r="61" spans="1:6" x14ac:dyDescent="0.35">
      <c r="A61" s="21">
        <v>155</v>
      </c>
      <c r="B61" s="22">
        <v>162</v>
      </c>
      <c r="C61" s="23" t="s">
        <v>29</v>
      </c>
      <c r="D61" s="42" t="s">
        <v>12</v>
      </c>
      <c r="E61" t="s">
        <v>28</v>
      </c>
      <c r="F61" s="23" t="s">
        <v>27</v>
      </c>
    </row>
    <row r="62" spans="1:6" x14ac:dyDescent="0.35">
      <c r="A62" s="24">
        <v>156</v>
      </c>
      <c r="B62" s="25">
        <v>168</v>
      </c>
      <c r="C62" s="26" t="s">
        <v>26</v>
      </c>
      <c r="D62" s="42" t="s">
        <v>12</v>
      </c>
      <c r="E62" t="s">
        <v>28</v>
      </c>
      <c r="F62" s="26" t="s">
        <v>19</v>
      </c>
    </row>
    <row r="63" spans="1:6" x14ac:dyDescent="0.35">
      <c r="A63" s="24">
        <v>157</v>
      </c>
      <c r="B63" s="25">
        <v>168</v>
      </c>
      <c r="C63" s="26" t="s">
        <v>29</v>
      </c>
      <c r="D63" s="42" t="s">
        <v>12</v>
      </c>
      <c r="E63" t="s">
        <v>28</v>
      </c>
      <c r="F63" s="26" t="s">
        <v>19</v>
      </c>
    </row>
    <row r="64" spans="1:6" x14ac:dyDescent="0.35">
      <c r="A64" s="24">
        <v>158</v>
      </c>
      <c r="B64" s="25">
        <v>165</v>
      </c>
      <c r="C64" s="26" t="s">
        <v>26</v>
      </c>
      <c r="D64" s="42" t="s">
        <v>12</v>
      </c>
      <c r="E64" t="s">
        <v>28</v>
      </c>
      <c r="F64" s="26" t="s">
        <v>19</v>
      </c>
    </row>
    <row r="65" spans="1:6" x14ac:dyDescent="0.35">
      <c r="A65" s="24">
        <v>159</v>
      </c>
      <c r="B65" s="25">
        <v>165</v>
      </c>
      <c r="C65" s="26" t="s">
        <v>29</v>
      </c>
      <c r="D65" s="42" t="s">
        <v>12</v>
      </c>
      <c r="E65" t="s">
        <v>28</v>
      </c>
      <c r="F65" s="26" t="s">
        <v>19</v>
      </c>
    </row>
    <row r="66" spans="1:6" x14ac:dyDescent="0.35">
      <c r="A66" s="21">
        <v>160</v>
      </c>
      <c r="B66" s="22">
        <v>167</v>
      </c>
      <c r="C66" s="23" t="s">
        <v>26</v>
      </c>
      <c r="D66" s="42" t="s">
        <v>12</v>
      </c>
      <c r="E66" t="s">
        <v>28</v>
      </c>
      <c r="F66" s="23" t="s">
        <v>27</v>
      </c>
    </row>
    <row r="67" spans="1:6" x14ac:dyDescent="0.35">
      <c r="A67" s="21">
        <v>161</v>
      </c>
      <c r="B67" s="22">
        <v>167</v>
      </c>
      <c r="C67" s="23" t="s">
        <v>29</v>
      </c>
      <c r="D67" s="43" t="s">
        <v>12</v>
      </c>
      <c r="E67" t="s">
        <v>28</v>
      </c>
      <c r="F67" s="23" t="s">
        <v>27</v>
      </c>
    </row>
    <row r="68" spans="1:6" x14ac:dyDescent="0.35">
      <c r="D68" s="13"/>
    </row>
    <row r="69" spans="1:6" x14ac:dyDescent="0.35">
      <c r="D6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F17" sqref="F17"/>
    </sheetView>
  </sheetViews>
  <sheetFormatPr defaultRowHeight="14.5" x14ac:dyDescent="0.35"/>
  <cols>
    <col min="1" max="1" width="9.7265625" bestFit="1" customWidth="1"/>
    <col min="2" max="2" width="13.81640625" bestFit="1" customWidth="1"/>
    <col min="3" max="3" width="13.453125" bestFit="1" customWidth="1"/>
    <col min="4" max="4" width="11.1796875" bestFit="1" customWidth="1"/>
    <col min="6" max="6" width="13.453125" bestFit="1" customWidth="1"/>
    <col min="7" max="7" width="17.54296875" bestFit="1" customWidth="1"/>
    <col min="8" max="8" width="15.26953125" bestFit="1" customWidth="1"/>
    <col min="9" max="9" width="10.54296875" bestFit="1" customWidth="1"/>
    <col min="13" max="13" width="17" bestFit="1" customWidth="1"/>
  </cols>
  <sheetData>
    <row r="1" spans="1:13" x14ac:dyDescent="0.35">
      <c r="B1" t="s">
        <v>31</v>
      </c>
      <c r="D1" t="s">
        <v>14</v>
      </c>
      <c r="E1" t="s">
        <v>15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35">
      <c r="A2" s="7" t="s">
        <v>0</v>
      </c>
      <c r="B2" s="7" t="s">
        <v>7</v>
      </c>
      <c r="C2" s="7" t="s">
        <v>7</v>
      </c>
    </row>
    <row r="3" spans="1:13" x14ac:dyDescent="0.35">
      <c r="A3" s="8">
        <v>44214</v>
      </c>
      <c r="B3" s="7">
        <v>11</v>
      </c>
      <c r="C3" s="6"/>
    </row>
    <row r="4" spans="1:13" x14ac:dyDescent="0.35">
      <c r="A4" s="8">
        <f>A3+7</f>
        <v>44221</v>
      </c>
      <c r="B4" s="7">
        <f>B3+1</f>
        <v>12</v>
      </c>
      <c r="C4" s="6"/>
    </row>
    <row r="5" spans="1:13" x14ac:dyDescent="0.35">
      <c r="A5" s="8">
        <f t="shared" ref="A5:A28" si="0">A4+7</f>
        <v>44228</v>
      </c>
      <c r="B5" s="7">
        <f t="shared" ref="B5:B28" si="1">B4+1</f>
        <v>13</v>
      </c>
      <c r="C5" s="6"/>
    </row>
    <row r="6" spans="1:13" x14ac:dyDescent="0.35">
      <c r="A6" s="8">
        <f t="shared" si="0"/>
        <v>44235</v>
      </c>
      <c r="B6" s="7">
        <f t="shared" si="1"/>
        <v>14</v>
      </c>
      <c r="C6" s="6"/>
    </row>
    <row r="7" spans="1:13" x14ac:dyDescent="0.35">
      <c r="A7" s="8">
        <f t="shared" si="0"/>
        <v>44242</v>
      </c>
      <c r="B7" s="7">
        <f t="shared" si="1"/>
        <v>15</v>
      </c>
      <c r="C7" s="6"/>
    </row>
    <row r="8" spans="1:13" x14ac:dyDescent="0.35">
      <c r="A8" s="8">
        <f t="shared" si="0"/>
        <v>44249</v>
      </c>
      <c r="B8" s="7">
        <f t="shared" si="1"/>
        <v>16</v>
      </c>
      <c r="C8" s="6"/>
    </row>
    <row r="9" spans="1:13" x14ac:dyDescent="0.35">
      <c r="A9" s="8">
        <f>A8+7</f>
        <v>44256</v>
      </c>
      <c r="B9" s="7">
        <f t="shared" si="1"/>
        <v>17</v>
      </c>
      <c r="C9" s="9"/>
    </row>
    <row r="10" spans="1:13" x14ac:dyDescent="0.35">
      <c r="A10" s="8">
        <f t="shared" si="0"/>
        <v>44263</v>
      </c>
      <c r="B10" s="7">
        <f t="shared" si="1"/>
        <v>18</v>
      </c>
      <c r="C10" s="7">
        <v>11</v>
      </c>
    </row>
    <row r="11" spans="1:13" x14ac:dyDescent="0.35">
      <c r="A11" s="10">
        <f t="shared" si="0"/>
        <v>44270</v>
      </c>
      <c r="B11" s="11">
        <f t="shared" si="1"/>
        <v>19</v>
      </c>
      <c r="C11" s="11">
        <f t="shared" ref="C11:C23" si="2">C10+1</f>
        <v>12</v>
      </c>
    </row>
    <row r="12" spans="1:13" x14ac:dyDescent="0.35">
      <c r="A12" s="4">
        <f t="shared" si="0"/>
        <v>44277</v>
      </c>
      <c r="B12" s="3">
        <f t="shared" si="1"/>
        <v>20</v>
      </c>
      <c r="C12" s="3">
        <f t="shared" si="2"/>
        <v>13</v>
      </c>
    </row>
    <row r="13" spans="1:13" x14ac:dyDescent="0.35">
      <c r="A13" s="4">
        <f t="shared" si="0"/>
        <v>44284</v>
      </c>
      <c r="B13" s="3">
        <f t="shared" si="1"/>
        <v>21</v>
      </c>
      <c r="C13" s="3">
        <f t="shared" si="2"/>
        <v>14</v>
      </c>
    </row>
    <row r="14" spans="1:13" ht="43.5" x14ac:dyDescent="0.35">
      <c r="A14" s="4">
        <f t="shared" si="0"/>
        <v>44291</v>
      </c>
      <c r="B14" s="3">
        <f t="shared" si="1"/>
        <v>22</v>
      </c>
      <c r="C14" s="3">
        <f t="shared" si="2"/>
        <v>15</v>
      </c>
      <c r="D14">
        <v>120</v>
      </c>
      <c r="E14">
        <v>88</v>
      </c>
      <c r="F14" s="44" t="s">
        <v>40</v>
      </c>
      <c r="G14" s="1">
        <v>44292</v>
      </c>
      <c r="H14">
        <v>465.2</v>
      </c>
      <c r="I14">
        <v>5</v>
      </c>
      <c r="J14">
        <v>1.3609</v>
      </c>
      <c r="K14">
        <v>16.173300000000001</v>
      </c>
      <c r="L14">
        <v>1.5427</v>
      </c>
      <c r="M14">
        <v>36.770000000000003</v>
      </c>
    </row>
    <row r="15" spans="1:13" ht="29" x14ac:dyDescent="0.35">
      <c r="A15" s="4">
        <f t="shared" si="0"/>
        <v>44298</v>
      </c>
      <c r="B15" s="3">
        <f t="shared" si="1"/>
        <v>23</v>
      </c>
      <c r="C15" s="3">
        <f t="shared" si="2"/>
        <v>16</v>
      </c>
      <c r="D15">
        <v>106</v>
      </c>
      <c r="E15" t="s">
        <v>41</v>
      </c>
      <c r="F15" s="44" t="s">
        <v>42</v>
      </c>
      <c r="G15" s="1">
        <v>44299</v>
      </c>
      <c r="H15">
        <v>375</v>
      </c>
      <c r="I15">
        <v>2</v>
      </c>
      <c r="J15">
        <v>1.1599999999999999</v>
      </c>
      <c r="K15">
        <v>15.84</v>
      </c>
      <c r="L15">
        <v>1.1779999999999999</v>
      </c>
      <c r="M15">
        <v>35.58</v>
      </c>
    </row>
    <row r="16" spans="1:13" ht="29" x14ac:dyDescent="0.35">
      <c r="A16" s="4">
        <f t="shared" si="0"/>
        <v>44305</v>
      </c>
      <c r="B16" s="3">
        <f t="shared" si="1"/>
        <v>24</v>
      </c>
      <c r="C16" s="3">
        <f t="shared" si="2"/>
        <v>17</v>
      </c>
      <c r="D16">
        <v>109</v>
      </c>
      <c r="E16" t="s">
        <v>43</v>
      </c>
      <c r="F16" s="44" t="s">
        <v>44</v>
      </c>
      <c r="G16" s="1">
        <v>44308</v>
      </c>
      <c r="H16">
        <v>392.6</v>
      </c>
      <c r="I16">
        <v>1</v>
      </c>
      <c r="J16">
        <v>1.1000000000000001</v>
      </c>
      <c r="K16">
        <v>14.631</v>
      </c>
      <c r="L16">
        <v>1.413</v>
      </c>
      <c r="M16">
        <v>35.770000000000003</v>
      </c>
    </row>
    <row r="17" spans="1:4" x14ac:dyDescent="0.35">
      <c r="A17" s="4">
        <f t="shared" si="0"/>
        <v>44312</v>
      </c>
      <c r="B17" s="3">
        <f t="shared" si="1"/>
        <v>25</v>
      </c>
      <c r="C17" s="3">
        <f t="shared" si="2"/>
        <v>18</v>
      </c>
      <c r="D17" t="s">
        <v>45</v>
      </c>
    </row>
    <row r="18" spans="1:4" x14ac:dyDescent="0.35">
      <c r="A18" s="4">
        <f t="shared" si="0"/>
        <v>44319</v>
      </c>
      <c r="B18" s="3">
        <f t="shared" si="1"/>
        <v>26</v>
      </c>
      <c r="C18" s="3">
        <f t="shared" si="2"/>
        <v>19</v>
      </c>
    </row>
    <row r="19" spans="1:4" x14ac:dyDescent="0.35">
      <c r="A19" s="4">
        <f t="shared" si="0"/>
        <v>44326</v>
      </c>
      <c r="B19" s="3">
        <f t="shared" si="1"/>
        <v>27</v>
      </c>
      <c r="C19" s="3">
        <f t="shared" si="2"/>
        <v>20</v>
      </c>
    </row>
    <row r="20" spans="1:4" x14ac:dyDescent="0.35">
      <c r="A20" s="4">
        <f t="shared" si="0"/>
        <v>44333</v>
      </c>
      <c r="B20" s="3">
        <f t="shared" si="1"/>
        <v>28</v>
      </c>
      <c r="C20" s="3">
        <f t="shared" si="2"/>
        <v>21</v>
      </c>
    </row>
    <row r="21" spans="1:4" x14ac:dyDescent="0.35">
      <c r="A21" s="4">
        <f t="shared" si="0"/>
        <v>44340</v>
      </c>
      <c r="B21" s="3">
        <f t="shared" si="1"/>
        <v>29</v>
      </c>
      <c r="C21" s="3">
        <f t="shared" si="2"/>
        <v>22</v>
      </c>
    </row>
    <row r="22" spans="1:4" x14ac:dyDescent="0.35">
      <c r="A22" s="4">
        <f t="shared" si="0"/>
        <v>44347</v>
      </c>
      <c r="B22" s="3">
        <f t="shared" si="1"/>
        <v>30</v>
      </c>
      <c r="C22" s="3">
        <f t="shared" si="2"/>
        <v>23</v>
      </c>
    </row>
    <row r="23" spans="1:4" x14ac:dyDescent="0.35">
      <c r="A23" s="4">
        <f t="shared" si="0"/>
        <v>44354</v>
      </c>
      <c r="B23" s="3">
        <f t="shared" si="1"/>
        <v>31</v>
      </c>
      <c r="C23" s="3">
        <f t="shared" si="2"/>
        <v>24</v>
      </c>
    </row>
    <row r="24" spans="1:4" x14ac:dyDescent="0.35">
      <c r="A24" s="4">
        <f t="shared" si="0"/>
        <v>44361</v>
      </c>
      <c r="B24" s="3">
        <f t="shared" si="1"/>
        <v>32</v>
      </c>
    </row>
    <row r="25" spans="1:4" x14ac:dyDescent="0.35">
      <c r="A25" s="4">
        <f t="shared" si="0"/>
        <v>44368</v>
      </c>
      <c r="B25" s="3">
        <f t="shared" si="1"/>
        <v>33</v>
      </c>
    </row>
    <row r="26" spans="1:4" x14ac:dyDescent="0.35">
      <c r="A26" s="4">
        <f t="shared" si="0"/>
        <v>44375</v>
      </c>
      <c r="B26" s="3">
        <f t="shared" si="1"/>
        <v>34</v>
      </c>
    </row>
    <row r="27" spans="1:4" x14ac:dyDescent="0.35">
      <c r="A27" s="4">
        <f t="shared" si="0"/>
        <v>44382</v>
      </c>
      <c r="B27" s="3">
        <f t="shared" si="1"/>
        <v>35</v>
      </c>
    </row>
    <row r="28" spans="1:4" x14ac:dyDescent="0.35">
      <c r="A28" s="4">
        <f t="shared" si="0"/>
        <v>44389</v>
      </c>
      <c r="B28" s="3">
        <f t="shared" si="1"/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H12"/>
    </sheetView>
  </sheetViews>
  <sheetFormatPr defaultRowHeight="14.5" x14ac:dyDescent="0.35"/>
  <cols>
    <col min="2" max="4" width="9.81640625" bestFit="1" customWidth="1"/>
    <col min="5" max="5" width="10.26953125" bestFit="1" customWidth="1"/>
    <col min="6" max="6" width="15.1796875" bestFit="1" customWidth="1"/>
    <col min="7" max="7" width="19.1796875" bestFit="1" customWidth="1"/>
    <col min="8" max="8" width="9.81640625" bestFit="1" customWidth="1"/>
  </cols>
  <sheetData>
    <row r="1" spans="1:8" x14ac:dyDescent="0.35">
      <c r="A1" s="45" t="s">
        <v>69</v>
      </c>
      <c r="B1" s="46" t="s">
        <v>63</v>
      </c>
      <c r="C1" s="46" t="s">
        <v>57</v>
      </c>
      <c r="D1" s="46" t="s">
        <v>58</v>
      </c>
      <c r="E1" s="46" t="s">
        <v>59</v>
      </c>
      <c r="F1" s="46" t="s">
        <v>60</v>
      </c>
      <c r="G1" s="46" t="s">
        <v>61</v>
      </c>
      <c r="H1" s="46" t="s">
        <v>62</v>
      </c>
    </row>
    <row r="2" spans="1:8" x14ac:dyDescent="0.35">
      <c r="A2" s="46"/>
      <c r="B2" s="46"/>
      <c r="C2" s="46"/>
      <c r="D2" s="46"/>
      <c r="E2" s="46"/>
      <c r="F2" s="46"/>
      <c r="G2" s="46"/>
      <c r="H2" s="46">
        <v>1</v>
      </c>
    </row>
    <row r="3" spans="1:8" x14ac:dyDescent="0.35">
      <c r="A3" s="46" t="s">
        <v>64</v>
      </c>
      <c r="B3" s="46">
        <v>2</v>
      </c>
      <c r="C3" s="46">
        <v>3</v>
      </c>
      <c r="D3" s="46">
        <v>4</v>
      </c>
      <c r="E3" s="46">
        <v>5</v>
      </c>
      <c r="F3" s="46">
        <v>6</v>
      </c>
      <c r="G3" s="46">
        <v>7</v>
      </c>
      <c r="H3" s="46">
        <v>8</v>
      </c>
    </row>
    <row r="4" spans="1:8" x14ac:dyDescent="0.35">
      <c r="A4" s="46" t="s">
        <v>70</v>
      </c>
      <c r="B4" s="46"/>
      <c r="C4" s="46"/>
      <c r="D4" s="46"/>
      <c r="E4" s="46"/>
      <c r="F4" s="46"/>
      <c r="G4" s="46"/>
      <c r="H4" s="46"/>
    </row>
    <row r="5" spans="1:8" x14ac:dyDescent="0.35">
      <c r="A5" s="46" t="s">
        <v>65</v>
      </c>
      <c r="B5" s="46">
        <v>9</v>
      </c>
      <c r="C5" s="46">
        <v>10</v>
      </c>
      <c r="D5" s="46">
        <v>11</v>
      </c>
      <c r="E5" s="46">
        <v>12</v>
      </c>
      <c r="F5" s="46">
        <v>13</v>
      </c>
      <c r="G5" s="46">
        <v>14</v>
      </c>
      <c r="H5" s="46">
        <v>15</v>
      </c>
    </row>
    <row r="6" spans="1:8" x14ac:dyDescent="0.35">
      <c r="A6" s="46" t="s">
        <v>70</v>
      </c>
      <c r="B6" s="46"/>
      <c r="C6" s="46"/>
      <c r="D6" s="46"/>
      <c r="E6" s="46"/>
      <c r="F6" s="45" t="s">
        <v>72</v>
      </c>
      <c r="G6" s="45" t="s">
        <v>71</v>
      </c>
      <c r="H6" s="46"/>
    </row>
    <row r="7" spans="1:8" x14ac:dyDescent="0.35">
      <c r="A7" s="46" t="s">
        <v>66</v>
      </c>
      <c r="B7" s="45">
        <v>16</v>
      </c>
      <c r="C7" s="46">
        <f>B7+1</f>
        <v>17</v>
      </c>
      <c r="D7" s="45">
        <f t="shared" ref="D7:H7" si="0">C7+1</f>
        <v>18</v>
      </c>
      <c r="E7" s="46">
        <f t="shared" si="0"/>
        <v>19</v>
      </c>
      <c r="F7" s="45">
        <f t="shared" si="0"/>
        <v>20</v>
      </c>
      <c r="G7" s="46">
        <f t="shared" si="0"/>
        <v>21</v>
      </c>
      <c r="H7" s="45">
        <f t="shared" si="0"/>
        <v>22</v>
      </c>
    </row>
    <row r="8" spans="1:8" x14ac:dyDescent="0.35">
      <c r="A8" s="46" t="s">
        <v>70</v>
      </c>
      <c r="B8" s="45" t="s">
        <v>73</v>
      </c>
      <c r="C8" s="46"/>
      <c r="D8" s="45" t="s">
        <v>73</v>
      </c>
      <c r="E8" s="46"/>
      <c r="F8" s="45" t="s">
        <v>73</v>
      </c>
      <c r="G8" s="46"/>
      <c r="H8" s="45" t="s">
        <v>73</v>
      </c>
    </row>
    <row r="9" spans="1:8" x14ac:dyDescent="0.35">
      <c r="A9" s="46" t="s">
        <v>67</v>
      </c>
      <c r="B9" s="46">
        <v>23</v>
      </c>
      <c r="C9" s="45">
        <f>B9+1</f>
        <v>24</v>
      </c>
      <c r="D9" s="46">
        <f t="shared" ref="D9:H9" si="1">C9+1</f>
        <v>25</v>
      </c>
      <c r="E9" s="45">
        <f t="shared" si="1"/>
        <v>26</v>
      </c>
      <c r="F9" s="46">
        <f t="shared" si="1"/>
        <v>27</v>
      </c>
      <c r="G9" s="45">
        <f t="shared" si="1"/>
        <v>28</v>
      </c>
      <c r="H9" s="46">
        <f t="shared" si="1"/>
        <v>29</v>
      </c>
    </row>
    <row r="10" spans="1:8" x14ac:dyDescent="0.35">
      <c r="A10" s="46" t="s">
        <v>70</v>
      </c>
      <c r="B10" s="46"/>
      <c r="C10" s="45" t="s">
        <v>73</v>
      </c>
      <c r="D10" s="46"/>
      <c r="E10" s="45" t="s">
        <v>73</v>
      </c>
      <c r="F10" s="46"/>
      <c r="G10" s="45" t="s">
        <v>73</v>
      </c>
      <c r="H10" s="46"/>
    </row>
    <row r="11" spans="1:8" x14ac:dyDescent="0.35">
      <c r="A11" s="46" t="s">
        <v>68</v>
      </c>
      <c r="B11" s="45">
        <v>30</v>
      </c>
      <c r="C11" s="46">
        <v>31</v>
      </c>
      <c r="D11" s="46"/>
      <c r="E11" s="46"/>
      <c r="F11" s="46"/>
      <c r="G11" s="46"/>
      <c r="H11" s="46"/>
    </row>
    <row r="12" spans="1:8" x14ac:dyDescent="0.35">
      <c r="A12" s="46" t="s">
        <v>70</v>
      </c>
      <c r="B12" s="45" t="s">
        <v>73</v>
      </c>
      <c r="C12" s="46"/>
      <c r="D12" s="46"/>
      <c r="E12" s="46"/>
      <c r="F12" s="46"/>
      <c r="G12" s="46"/>
      <c r="H12" s="4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Harvesting Info</vt:lpstr>
      <vt:lpstr>Health Information per Rat</vt:lpstr>
      <vt:lpstr>Incidence Report</vt:lpstr>
      <vt:lpstr>Injection Schedule</vt:lpstr>
    </vt:vector>
  </TitlesOfParts>
  <Company>Tufts Medical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Mehm, Alexander R</dc:creator>
  <cp:lastModifiedBy>Pulakat, Lakshmi</cp:lastModifiedBy>
  <dcterms:created xsi:type="dcterms:W3CDTF">2021-02-16T18:28:12Z</dcterms:created>
  <dcterms:modified xsi:type="dcterms:W3CDTF">2021-12-16T23:08:10Z</dcterms:modified>
</cp:coreProperties>
</file>